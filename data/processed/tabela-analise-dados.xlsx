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dados-linkedin-teste\"/>
    </mc:Choice>
  </mc:AlternateContent>
  <xr:revisionPtr revIDLastSave="0" documentId="8_{A68E344C-5A51-4116-977D-93BFF96C9556}" xr6:coauthVersionLast="47" xr6:coauthVersionMax="47" xr10:uidLastSave="{00000000-0000-0000-0000-000000000000}"/>
  <bookViews>
    <workbookView xWindow="-120" yWindow="-120" windowWidth="24240" windowHeight="13020" xr2:uid="{9612CC33-907B-4057-BD94-570515A0CF54}"/>
  </bookViews>
  <sheets>
    <sheet name="final_data" sheetId="2" r:id="rId1"/>
    <sheet name="Planilha1" sheetId="1" r:id="rId2"/>
  </sheets>
  <definedNames>
    <definedName name="DadosExternos_1" localSheetId="0" hidden="1">final_data!$A$1:$AP$812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I10" i="1"/>
  <c r="I6" i="1"/>
  <c r="I7" i="1"/>
  <c r="I8" i="1"/>
  <c r="I9" i="1"/>
  <c r="I11" i="1"/>
  <c r="I12" i="1"/>
  <c r="I13" i="1"/>
  <c r="I14" i="1"/>
  <c r="I15" i="1"/>
  <c r="I5" i="1"/>
  <c r="J10" i="1"/>
  <c r="K10" i="1" s="1"/>
  <c r="J11" i="1"/>
  <c r="K11" i="1" s="1"/>
  <c r="J13" i="1"/>
  <c r="K13" i="1" s="1"/>
  <c r="J9" i="1"/>
  <c r="K9" i="1" s="1"/>
  <c r="J12" i="1"/>
  <c r="J6" i="1"/>
  <c r="K6" i="1" s="1"/>
  <c r="J8" i="1"/>
  <c r="K8" i="1" s="1"/>
  <c r="J14" i="1"/>
  <c r="K14" i="1" s="1"/>
  <c r="J15" i="1"/>
  <c r="K15" i="1" s="1"/>
  <c r="J7" i="1"/>
  <c r="K7" i="1" s="1"/>
  <c r="J5" i="1"/>
  <c r="K5" i="1" s="1"/>
  <c r="K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Vinícius Alves Afonso</author>
  </authors>
  <commentList>
    <comment ref="E19" authorId="0" shapeId="0" xr:uid="{7016FCDF-7229-445C-AE8E-14AC3BCB1993}">
      <text>
        <r>
          <rPr>
            <b/>
            <sz val="9"/>
            <color indexed="81"/>
            <rFont val="Segoe UI"/>
            <charset val="1"/>
          </rPr>
          <t>Vinícius Alves Afonso:</t>
        </r>
        <r>
          <rPr>
            <sz val="9"/>
            <color indexed="81"/>
            <rFont val="Segoe UI"/>
            <charset val="1"/>
          </rPr>
          <t xml:space="preserve">
Linhas com "Total_applicants = 0" foram mantidas e sinalizadas na coluna Trustable Applicants, pois não há como confirmar se representam ausência real de candidatos ou falha na coleta para 4 empresas específicas."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F1A52-88FE-475E-9A20-E40DE77E11D7}" keepAlive="1" name="Consulta - final_data" description="Conexão com a consulta 'final_data' na pasta de trabalho." type="5" refreshedVersion="7" background="1" saveData="1">
    <dbPr connection="Provider=Microsoft.Mashup.OleDb.1;Data Source=$Workbook$;Location=final_data;Extended Properties=&quot;&quot;" command="SELECT * FROM [final_data]"/>
  </connection>
</connections>
</file>

<file path=xl/sharedStrings.xml><?xml version="1.0" encoding="utf-8"?>
<sst xmlns="http://schemas.openxmlformats.org/spreadsheetml/2006/main" count="5735" uniqueCount="479">
  <si>
    <t>Company_Name</t>
  </si>
  <si>
    <t>Class</t>
  </si>
  <si>
    <t>Designation</t>
  </si>
  <si>
    <t>Location</t>
  </si>
  <si>
    <t>Total_applicants</t>
  </si>
  <si>
    <t>LinkedIn_Followers</t>
  </si>
  <si>
    <t>Level</t>
  </si>
  <si>
    <t>Employee_count</t>
  </si>
  <si>
    <t>Industry</t>
  </si>
  <si>
    <t>PYTHON</t>
  </si>
  <si>
    <t>C++</t>
  </si>
  <si>
    <t>JAVA</t>
  </si>
  <si>
    <t>HADOOP</t>
  </si>
  <si>
    <t>SCALA</t>
  </si>
  <si>
    <t>FLASK</t>
  </si>
  <si>
    <t>PANDAS</t>
  </si>
  <si>
    <t>SPARK</t>
  </si>
  <si>
    <t>NUMPY</t>
  </si>
  <si>
    <t>PHP</t>
  </si>
  <si>
    <t>SQL</t>
  </si>
  <si>
    <t>MYSQL</t>
  </si>
  <si>
    <t>CSS</t>
  </si>
  <si>
    <t>MONGODB</t>
  </si>
  <si>
    <t>NLTK</t>
  </si>
  <si>
    <t>TENSORFLOW</t>
  </si>
  <si>
    <t>LINUX</t>
  </si>
  <si>
    <t>RUBY</t>
  </si>
  <si>
    <t>JAVASCRIPT</t>
  </si>
  <si>
    <t>DJANGO</t>
  </si>
  <si>
    <t>REACT</t>
  </si>
  <si>
    <t>REACTJS</t>
  </si>
  <si>
    <t>AI</t>
  </si>
  <si>
    <t>UI</t>
  </si>
  <si>
    <t>TABLEAU</t>
  </si>
  <si>
    <t>NODEJS</t>
  </si>
  <si>
    <t>EXCEL</t>
  </si>
  <si>
    <t>POWER BI</t>
  </si>
  <si>
    <t>SELENIUM</t>
  </si>
  <si>
    <t>HTML</t>
  </si>
  <si>
    <t>ML</t>
  </si>
  <si>
    <t>Wipro</t>
  </si>
  <si>
    <t>Class 3</t>
  </si>
  <si>
    <t>Project Manager</t>
  </si>
  <si>
    <t xml:space="preserve">Full-time </t>
  </si>
  <si>
    <t>Administrator</t>
  </si>
  <si>
    <t>Test Engineer</t>
  </si>
  <si>
    <t>Service Level Manager</t>
  </si>
  <si>
    <t>System Engineer</t>
  </si>
  <si>
    <t>Lead Administrator</t>
  </si>
  <si>
    <t>Business Analyst</t>
  </si>
  <si>
    <t>Technical Lead</t>
  </si>
  <si>
    <t>Developer</t>
  </si>
  <si>
    <t>Project Lead</t>
  </si>
  <si>
    <t>Consultant-Technology &amp; Implementation</t>
  </si>
  <si>
    <t>DevOps Engineer</t>
  </si>
  <si>
    <t>Delivery Manager</t>
  </si>
  <si>
    <t>Delivery Assurance Manager</t>
  </si>
  <si>
    <t>Product Marketing Manager</t>
  </si>
  <si>
    <t>Pre-sales consultant</t>
  </si>
  <si>
    <t>Cyber Security Analyst</t>
  </si>
  <si>
    <t>Program Manager (PM)</t>
  </si>
  <si>
    <t>Manager â€“ Learning and Development (I&amp;D)</t>
  </si>
  <si>
    <t>Senior Consultant-Technology &amp; Implementation</t>
  </si>
  <si>
    <t>Configurator</t>
  </si>
  <si>
    <t>Service Delivery Lead</t>
  </si>
  <si>
    <t>ArtificiaI Intelligence Lead</t>
  </si>
  <si>
    <t>Application Architect</t>
  </si>
  <si>
    <t>AWS Senior Cloud Developer</t>
  </si>
  <si>
    <t>Middleware Administrator</t>
  </si>
  <si>
    <t>Cyber Security Architect</t>
  </si>
  <si>
    <t>Presales Manager_F&amp;A</t>
  </si>
  <si>
    <t>Infrastructure Architect</t>
  </si>
  <si>
    <t>Citrix Admin-Administrator</t>
  </si>
  <si>
    <t>AI/ML - Data Scientist</t>
  </si>
  <si>
    <t>Pre-Sales Consultant</t>
  </si>
  <si>
    <t>Big Data Developer</t>
  </si>
  <si>
    <t>DevOps Lead</t>
  </si>
  <si>
    <t>Managing Consultant-Technology &amp; Implementation</t>
  </si>
  <si>
    <t>Domain Architect</t>
  </si>
  <si>
    <t>Data Analytics Architect</t>
  </si>
  <si>
    <t>Scrum Master</t>
  </si>
  <si>
    <t>Lead Developer</t>
  </si>
  <si>
    <t>Tools Consultant</t>
  </si>
  <si>
    <t>LTIMindtree</t>
  </si>
  <si>
    <t>Class 1</t>
  </si>
  <si>
    <t>Java Developer</t>
  </si>
  <si>
    <t>Opening for Scrum Master</t>
  </si>
  <si>
    <t>PLSQL Development - LTIMindtree.</t>
  </si>
  <si>
    <t>Opening for Database Developer</t>
  </si>
  <si>
    <t>PL/PM (Scrum Master)</t>
  </si>
  <si>
    <t>Program Manager</t>
  </si>
  <si>
    <t>BA-P and C Insurance-Billing</t>
  </si>
  <si>
    <t>Oracle EBS Apps Technical Consultant</t>
  </si>
  <si>
    <t>Workday Consultant</t>
  </si>
  <si>
    <t>Opening for Oracle Fusion HCM Technical Analyst in LTIM, India</t>
  </si>
  <si>
    <t>Looking for Senior Manager - Program and Project Management</t>
  </si>
  <si>
    <t>Obiee Developer</t>
  </si>
  <si>
    <t>Opening for PeopleSoft Finance Technical,Consultant</t>
  </si>
  <si>
    <t>APEX Developer</t>
  </si>
  <si>
    <t>Business Analyst- SME-Broker-Insurance</t>
  </si>
  <si>
    <t>Java Back-end Developer</t>
  </si>
  <si>
    <t>UI UX Designer</t>
  </si>
  <si>
    <t>Infra Cloud Architect</t>
  </si>
  <si>
    <t>Looking for PHP Developer</t>
  </si>
  <si>
    <t>'Java Full stack Developer'</t>
  </si>
  <si>
    <t>Business Analyst-P&amp;C Insurance-Billing</t>
  </si>
  <si>
    <t>Solace Admin</t>
  </si>
  <si>
    <t>Agile Project Management required for Delhi</t>
  </si>
  <si>
    <t>Technical Director</t>
  </si>
  <si>
    <t>Sharepoint Developer</t>
  </si>
  <si>
    <t>LTIMindtree Hiring SAP Project Manager</t>
  </si>
  <si>
    <t>Business Analyst-Duckcreek-Claims</t>
  </si>
  <si>
    <t>Fusion HCM Technical</t>
  </si>
  <si>
    <t>WMS Functional</t>
  </si>
  <si>
    <t>Opening for WMS Functional Consultant in LTIM</t>
  </si>
  <si>
    <t>Cloud Architect</t>
  </si>
  <si>
    <t>EBS Finance Functional</t>
  </si>
  <si>
    <t>SAP Data Specialist</t>
  </si>
  <si>
    <t>Python Developer</t>
  </si>
  <si>
    <t>Opening for OTM Functional Consultant</t>
  </si>
  <si>
    <t>OTM Project Lead</t>
  </si>
  <si>
    <t>Java Full Stack with angular and springboot</t>
  </si>
  <si>
    <t>Mainframe Developer- PAN India</t>
  </si>
  <si>
    <t>Job| Mainframe Developers | 3-5yrs | PAN India</t>
  </si>
  <si>
    <t>Opening for Fusion HCM Technical Consultant</t>
  </si>
  <si>
    <t>Python Architect/Python Tech Lead/Python Technical Lead</t>
  </si>
  <si>
    <t>Hyperion Essbase And Planning</t>
  </si>
  <si>
    <t>JDE Technical PAN India</t>
  </si>
  <si>
    <t>Oracle Apps Technical OAF</t>
  </si>
  <si>
    <t>WMS Lead Consultant</t>
  </si>
  <si>
    <t>GCP Professionals</t>
  </si>
  <si>
    <t>Oracle EPBCS (Enterprise Planning and Budgeting Cloud Service)</t>
  </si>
  <si>
    <t>LTIMindtree Hiring - Servicenow Developers</t>
  </si>
  <si>
    <t>Primavera Unifier Architect</t>
  </si>
  <si>
    <t>Talend Developer</t>
  </si>
  <si>
    <t>COBOL400 Developer</t>
  </si>
  <si>
    <t>LTIMindtree Hiring SAP Project Manager- PAN India</t>
  </si>
  <si>
    <t>GTM/OTM Functional Consultant</t>
  </si>
  <si>
    <t>JAVA Full stack Developer</t>
  </si>
  <si>
    <t>Opening for Fusion Finance Functional Consultant</t>
  </si>
  <si>
    <t>Opening for PSFT Finance Technical Consultant in LTIM, India</t>
  </si>
  <si>
    <t>LTI Hiring for Central Finance.</t>
  </si>
  <si>
    <t>Fusion Finance Architect</t>
  </si>
  <si>
    <t>JDE Finance PAN India</t>
  </si>
  <si>
    <t>Pega CSSA Specialist</t>
  </si>
  <si>
    <t>Data Modeler</t>
  </si>
  <si>
    <t>SAP Project Manager</t>
  </si>
  <si>
    <t>OIC Developer</t>
  </si>
  <si>
    <t>Siebel Developer</t>
  </si>
  <si>
    <t>IDESLABS PRIVATE LIMITED</t>
  </si>
  <si>
    <t>Class 4</t>
  </si>
  <si>
    <t>SQL Developer</t>
  </si>
  <si>
    <t>Manual Tester</t>
  </si>
  <si>
    <t>Pl/SQL Developer</t>
  </si>
  <si>
    <t>Associate Business Consultant</t>
  </si>
  <si>
    <t>Jr. Software Engineer</t>
  </si>
  <si>
    <t>React Developer</t>
  </si>
  <si>
    <t>Java developer</t>
  </si>
  <si>
    <t xml:space="preserve">Contract </t>
  </si>
  <si>
    <t>WAS Admin</t>
  </si>
  <si>
    <t>Backend Engineer</t>
  </si>
  <si>
    <t>Solution Analyst</t>
  </si>
  <si>
    <t>SAP BASIS</t>
  </si>
  <si>
    <t>Sr. Test Engineer</t>
  </si>
  <si>
    <t>SAP MM CONSULTANT</t>
  </si>
  <si>
    <t>SQL Server DBA</t>
  </si>
  <si>
    <t>Windows Admin</t>
  </si>
  <si>
    <t>Team Lead</t>
  </si>
  <si>
    <t>Network Automation</t>
  </si>
  <si>
    <t>Change Manager</t>
  </si>
  <si>
    <t>SAP PROJECT MANAGER with ABAP</t>
  </si>
  <si>
    <t>Dot Net developer</t>
  </si>
  <si>
    <t>Software Engineer</t>
  </si>
  <si>
    <t>SAP ABAP</t>
  </si>
  <si>
    <t>SAP QE/PO</t>
  </si>
  <si>
    <t>Test Lead</t>
  </si>
  <si>
    <t>Associate Tech Specialist</t>
  </si>
  <si>
    <t>SAP MM/WM</t>
  </si>
  <si>
    <t>Frontend Developer</t>
  </si>
  <si>
    <t>SAP Abap-Sr. Software Engineer-Vizag</t>
  </si>
  <si>
    <t>Java Developers</t>
  </si>
  <si>
    <t>Security Analyst</t>
  </si>
  <si>
    <t>Engineer</t>
  </si>
  <si>
    <t>QA Engineer</t>
  </si>
  <si>
    <t>IT Recruiter</t>
  </si>
  <si>
    <t>Sr. Associate -UX</t>
  </si>
  <si>
    <t>SAP QA Tester</t>
  </si>
  <si>
    <t>SAP BW- Tech Lead</t>
  </si>
  <si>
    <t>Core Java</t>
  </si>
  <si>
    <t>Sr. Engineer</t>
  </si>
  <si>
    <t>QA</t>
  </si>
  <si>
    <t>Angular Developer</t>
  </si>
  <si>
    <t>Web Developer</t>
  </si>
  <si>
    <t>AWS Devops engineer</t>
  </si>
  <si>
    <t>SAP ABAP(HR)</t>
  </si>
  <si>
    <t>Associate Team Lead</t>
  </si>
  <si>
    <t>.Net Lead</t>
  </si>
  <si>
    <t>Sr. Security Analyst</t>
  </si>
  <si>
    <t>.NET Full stack Developer</t>
  </si>
  <si>
    <t>Informatica Developer</t>
  </si>
  <si>
    <t>Delivery Head</t>
  </si>
  <si>
    <t>Lead-PMO</t>
  </si>
  <si>
    <t>UI/UX Developer</t>
  </si>
  <si>
    <t>Devops Engineer</t>
  </si>
  <si>
    <t>SAP MM-S4 HANA Consultant</t>
  </si>
  <si>
    <t>SAP MM/PP</t>
  </si>
  <si>
    <t>Recruitment Lead</t>
  </si>
  <si>
    <t>Java-front end Developer</t>
  </si>
  <si>
    <t>SAP PI/PO</t>
  </si>
  <si>
    <t>Dot Net Developer</t>
  </si>
  <si>
    <t>Business Consultant</t>
  </si>
  <si>
    <t>Customer Delivery Head</t>
  </si>
  <si>
    <t>Associate Security Consultant</t>
  </si>
  <si>
    <t>SAP ABAP OData</t>
  </si>
  <si>
    <t>HCM HR</t>
  </si>
  <si>
    <t>SAP Basis-Module Lead</t>
  </si>
  <si>
    <t>Dot net Developer / Sr. Developer</t>
  </si>
  <si>
    <t>Associate Solution Architect</t>
  </si>
  <si>
    <t>Support Analyst</t>
  </si>
  <si>
    <t>SAP ABAP on HANA</t>
  </si>
  <si>
    <t>Oracle SCM Technical</t>
  </si>
  <si>
    <t>SAP FICO</t>
  </si>
  <si>
    <t>AWS DevOps</t>
  </si>
  <si>
    <t>Solution Architect</t>
  </si>
  <si>
    <t>Oracle IAM with Java Developer</t>
  </si>
  <si>
    <t>Power BI Developer</t>
  </si>
  <si>
    <t>Java Backend</t>
  </si>
  <si>
    <t>Oracle Finance Technical Consultant</t>
  </si>
  <si>
    <t>PHP Developer</t>
  </si>
  <si>
    <t>Database Admin. Sr Cnslt.</t>
  </si>
  <si>
    <t>Tech Manager</t>
  </si>
  <si>
    <t>AWS Engineer</t>
  </si>
  <si>
    <t>SAP Abap Workflow - Module Lead</t>
  </si>
  <si>
    <t>Full stack developer â€“ Angular/C#,.Net.</t>
  </si>
  <si>
    <t>SAP BASIS with Selenium</t>
  </si>
  <si>
    <t>SAP BI (BW) Lead</t>
  </si>
  <si>
    <t>SAP MM WITH RELEASE STRATERGY</t>
  </si>
  <si>
    <t>SAP Security Consultant</t>
  </si>
  <si>
    <t>Java-Back end Developer</t>
  </si>
  <si>
    <t>SAP BASIS Consultant-S4 HANA</t>
  </si>
  <si>
    <t>Associate Software Engineer</t>
  </si>
  <si>
    <t>Data Architect</t>
  </si>
  <si>
    <t>SAP ABSIS Admin</t>
  </si>
  <si>
    <t>Test Manager</t>
  </si>
  <si>
    <t>SAP ABAP + Customization</t>
  </si>
  <si>
    <t>.Net Core Developer</t>
  </si>
  <si>
    <t>SAP MM with API</t>
  </si>
  <si>
    <t>Mainframe Developer</t>
  </si>
  <si>
    <t>Project Manager- Jaipur</t>
  </si>
  <si>
    <t>Lead DBA</t>
  </si>
  <si>
    <t>SAP ABAP OOPS</t>
  </si>
  <si>
    <t>ABAP Developer - Module Lead</t>
  </si>
  <si>
    <t>Sr. SAP Functional Testing - Finance</t>
  </si>
  <si>
    <t>SAP ABAP For NTT DATA</t>
  </si>
  <si>
    <t>OFM Admin with SOA</t>
  </si>
  <si>
    <t>Senior AWS Developer</t>
  </si>
  <si>
    <t>SAP ABAP-CDS Developer</t>
  </si>
  <si>
    <t>Java Spring Boot Developer</t>
  </si>
  <si>
    <t>Front end developers</t>
  </si>
  <si>
    <t>Network Lead</t>
  </si>
  <si>
    <t>Associate Technical Architect</t>
  </si>
  <si>
    <t>Sr. Software Engineer</t>
  </si>
  <si>
    <t>Security Consultant</t>
  </si>
  <si>
    <t>UI Angular</t>
  </si>
  <si>
    <t>SAP Basis - Tech Manager</t>
  </si>
  <si>
    <t>SAP HCM Lead Consultant</t>
  </si>
  <si>
    <t>Backup Admin - Mumbai Location</t>
  </si>
  <si>
    <t>Group Manager-Operations</t>
  </si>
  <si>
    <t>Kronos Custom Reports</t>
  </si>
  <si>
    <t>Oracle Fusion CRM Consultant</t>
  </si>
  <si>
    <t>Testing</t>
  </si>
  <si>
    <t>Java Fullstack Developer</t>
  </si>
  <si>
    <t>Tech Lead</t>
  </si>
  <si>
    <t>Software Development Analyst</t>
  </si>
  <si>
    <t>Bioinformatics QA</t>
  </si>
  <si>
    <t>Pega Developer</t>
  </si>
  <si>
    <t>SAP MDG with ABAP</t>
  </si>
  <si>
    <t>CRM Customer Service</t>
  </si>
  <si>
    <t>RPA UI PATH</t>
  </si>
  <si>
    <t>Java Full Stack Developer</t>
  </si>
  <si>
    <t>Solution Lead</t>
  </si>
  <si>
    <t>Learning Consultant</t>
  </si>
  <si>
    <t>Sharepoint Migration Engineer</t>
  </si>
  <si>
    <t>Required SAP FICO Consultants for Contract</t>
  </si>
  <si>
    <t>AWS ENGINEER</t>
  </si>
  <si>
    <t>SAP Security with S4 HANA</t>
  </si>
  <si>
    <t>SAP PM with FICO</t>
  </si>
  <si>
    <t>Cactus Communications</t>
  </si>
  <si>
    <t>Class 2</t>
  </si>
  <si>
    <t>Marketing Associate</t>
  </si>
  <si>
    <t>CACTUS Talent Community</t>
  </si>
  <si>
    <t>ACURA SOLUTIONS LTD</t>
  </si>
  <si>
    <t>Mis Executive</t>
  </si>
  <si>
    <t>MIS Executive (Insuretech Company)</t>
  </si>
  <si>
    <t>Talent Acquisition Manager (With leading Bank)</t>
  </si>
  <si>
    <t>Associate Consultant (Hospital Management System)</t>
  </si>
  <si>
    <t>Branch Relationship Manager</t>
  </si>
  <si>
    <t>Customer Service Executive- Retail Assets- Noida</t>
  </si>
  <si>
    <t>Software QA Engineer 2 / Senior QA Engineer / Manual Test Lead / Automation Test</t>
  </si>
  <si>
    <t>Frontend Developer (Insuretech Company)</t>
  </si>
  <si>
    <t>Consultant - Internal Audit</t>
  </si>
  <si>
    <t>MSBI Developer</t>
  </si>
  <si>
    <t>Node.js Developer (For IT Consulting)</t>
  </si>
  <si>
    <t>Teller Authorizer</t>
  </si>
  <si>
    <t>Senior Associate / Consultant KYC/CDD</t>
  </si>
  <si>
    <t>Internal Audit - Consultant</t>
  </si>
  <si>
    <t>SAP Security</t>
  </si>
  <si>
    <t>Analyst Consultant_Private Equity</t>
  </si>
  <si>
    <t>MERN Developer (MongoDB, ExpressJS,ReactJS,NodeJS)</t>
  </si>
  <si>
    <t>Deputy Branch Manager ( Leading Pvt. Bank)</t>
  </si>
  <si>
    <t>Analyst/Associate Consultant (Primary Market Research)</t>
  </si>
  <si>
    <t>Assitance Manager - Purchase ( Jejuri - Pune location)</t>
  </si>
  <si>
    <t>E-Commerce Manager - Agritech Company</t>
  </si>
  <si>
    <t>Digital Marketing Executive</t>
  </si>
  <si>
    <t>BDM-Business Loan in a Leading MNC Bank</t>
  </si>
  <si>
    <t>TASC RM ( Leading Pvt. Bank)</t>
  </si>
  <si>
    <t>UI/UX developer</t>
  </si>
  <si>
    <t>Telecaller Executive (Fintech Firm)</t>
  </si>
  <si>
    <t>Software Tester (Insuretech Company)</t>
  </si>
  <si>
    <t>Social Media Manager with Insure-tech company</t>
  </si>
  <si>
    <t>Data Analyst (Business professional Institute)</t>
  </si>
  <si>
    <t>BDM for a Reputed MNC Bank.</t>
  </si>
  <si>
    <t>Digital Marketing</t>
  </si>
  <si>
    <t>Associate Software Engineer - .Net (Fintech Company)</t>
  </si>
  <si>
    <t>Senior Associate / Consultant Compliance with Big 5 company</t>
  </si>
  <si>
    <t>Associate Consultant - Data Migration</t>
  </si>
  <si>
    <t>AVP Home Loans</t>
  </si>
  <si>
    <t>Hiring for Associate Consultant - Reporting with a MNC Pharmaceutical Firm</t>
  </si>
  <si>
    <t>Content Writer (Hindi) - Insurance</t>
  </si>
  <si>
    <t>Relationship Manager - Business Banking (Mid Corporate)</t>
  </si>
  <si>
    <t>Manager - Statutory IT Auditor</t>
  </si>
  <si>
    <t>Flexi Banker</t>
  </si>
  <si>
    <t>Looker BI Developer</t>
  </si>
  <si>
    <t>Associate Principal - Strategy Consulting- (Pharmaceutical MNC)</t>
  </si>
  <si>
    <t>Lead- Digital Business Process Re-engineering</t>
  </si>
  <si>
    <t>Ui Ux Developer - Mumbai</t>
  </si>
  <si>
    <t>Hiring for Branch Relationship Manager</t>
  </si>
  <si>
    <t>Associate Software Engineer- React Js with a Leading Fintech Company</t>
  </si>
  <si>
    <t>Human Resource Recruiter (HR)</t>
  </si>
  <si>
    <t>Hiring for Associate Consultant- Data Migration with a MNC Pharmaceutical Firm</t>
  </si>
  <si>
    <t>Branch Manager</t>
  </si>
  <si>
    <t>Manager Strategic Planning</t>
  </si>
  <si>
    <t>Assistant Manager - Cyber ITGC with Big 5 company</t>
  </si>
  <si>
    <t>NodeJs Developer (With the fintech firm)</t>
  </si>
  <si>
    <t>Associate Consultant- Reporting with a Leading pharmaceutical MNC</t>
  </si>
  <si>
    <t>Manager - E-Commerce (For Agritech company)</t>
  </si>
  <si>
    <t>Analyst Consultant (Private Equity)</t>
  </si>
  <si>
    <t>Associate Software Engineer - React JS (Fintech Company)</t>
  </si>
  <si>
    <t>SR UI/UX developer (Frontend + UI/UX development)</t>
  </si>
  <si>
    <t>UST</t>
  </si>
  <si>
    <t>Vodafone Idea Limited</t>
  </si>
  <si>
    <t>Manager-Regional Account Service</t>
  </si>
  <si>
    <t>AGM - Zonal Technical Manager</t>
  </si>
  <si>
    <t>AGM-Product Management</t>
  </si>
  <si>
    <t>Tata Consultancy Services</t>
  </si>
  <si>
    <t>Administrative Officer</t>
  </si>
  <si>
    <t>Embedded Engineer</t>
  </si>
  <si>
    <t>Python</t>
  </si>
  <si>
    <t>NodeJS</t>
  </si>
  <si>
    <t>Automotive Embedded Cybersecurity</t>
  </si>
  <si>
    <t>Node JS</t>
  </si>
  <si>
    <t>node js</t>
  </si>
  <si>
    <t>Uplers</t>
  </si>
  <si>
    <t>Artificial Intelligence Engineer - WFH</t>
  </si>
  <si>
    <t>Dotnet Developer- WFH</t>
  </si>
  <si>
    <t>Full Stack Developer</t>
  </si>
  <si>
    <t>Python Software Engineer</t>
  </si>
  <si>
    <t>Python Web Developer</t>
  </si>
  <si>
    <t>Full Stack Software Engineer</t>
  </si>
  <si>
    <t>Software Engineer - Senior</t>
  </si>
  <si>
    <t>Back End Developer</t>
  </si>
  <si>
    <t>Python Tech Lead</t>
  </si>
  <si>
    <t>Web Developer - Python</t>
  </si>
  <si>
    <t>Software Engineer- Blockchain</t>
  </si>
  <si>
    <t>Search Executive</t>
  </si>
  <si>
    <t>Big Data Engineer - WFH</t>
  </si>
  <si>
    <t>Cloud Software Engineer</t>
  </si>
  <si>
    <t>Data Scientist- WFH</t>
  </si>
  <si>
    <t>PPC Executive</t>
  </si>
  <si>
    <t>Technical Architect</t>
  </si>
  <si>
    <t>ML Engineer - Remote</t>
  </si>
  <si>
    <t>UI/UX Designer</t>
  </si>
  <si>
    <t>SF Tech Architect</t>
  </si>
  <si>
    <t>Systems Engineer- Back End</t>
  </si>
  <si>
    <t>Android Engineer- WFH</t>
  </si>
  <si>
    <t>Associate Python Programmer</t>
  </si>
  <si>
    <t>Sr. Salesforce Developer (WFH)</t>
  </si>
  <si>
    <t>Android App Developer- WFH</t>
  </si>
  <si>
    <t>PPC Executive- Associate</t>
  </si>
  <si>
    <t>Python Software Developer</t>
  </si>
  <si>
    <t>Unity Developer (WFH)</t>
  </si>
  <si>
    <t>Dotnet Software Developer</t>
  </si>
  <si>
    <t>Data Solutions Architect</t>
  </si>
  <si>
    <t>Data Engineering Expert - WFH</t>
  </si>
  <si>
    <t>Search Engine Marketing (SEM) Manager</t>
  </si>
  <si>
    <t>Data Engineer</t>
  </si>
  <si>
    <t>Manager - Search Engine Marketing</t>
  </si>
  <si>
    <t>Full Stack Developer (React &amp; Node.js)</t>
  </si>
  <si>
    <t>SF Tech Architect - Associate</t>
  </si>
  <si>
    <t>Staff Software Engineer</t>
  </si>
  <si>
    <t>Performance Marketing Executive</t>
  </si>
  <si>
    <t>Java Associate Developer (WFH)</t>
  </si>
  <si>
    <t>Lead Google Analytics (WFH)</t>
  </si>
  <si>
    <t>Associate - Programmatic</t>
  </si>
  <si>
    <t>Fullstack developer</t>
  </si>
  <si>
    <t>Sr. Quality Analyst</t>
  </si>
  <si>
    <t>Lead Data Engineer</t>
  </si>
  <si>
    <t>SEM Specialist</t>
  </si>
  <si>
    <t>Senior Python Programmer</t>
  </si>
  <si>
    <t>.Net Framework Developer</t>
  </si>
  <si>
    <t>Android Developer- WFH</t>
  </si>
  <si>
    <t>Senior Ad-Tech Specialist</t>
  </si>
  <si>
    <t>Senior Software Engineer (WFH)</t>
  </si>
  <si>
    <t>AI Engineer - WFH</t>
  </si>
  <si>
    <t>Lead Data Engineer - WFH</t>
  </si>
  <si>
    <t>Java Software Engineer</t>
  </si>
  <si>
    <t>Search Engine Marketing Manager</t>
  </si>
  <si>
    <t>Blockchain Software Developer</t>
  </si>
  <si>
    <t>Full Stack Engineer (React/Node.js)</t>
  </si>
  <si>
    <t>Database Engineer</t>
  </si>
  <si>
    <t>Mobile Developer- Android</t>
  </si>
  <si>
    <t>Associate Digital Marketing (WFH)</t>
  </si>
  <si>
    <t>Engineer - Lead</t>
  </si>
  <si>
    <t>Paid Search Executive</t>
  </si>
  <si>
    <t>Python Developer - WFH</t>
  </si>
  <si>
    <t>Campaign Analyst - Programmatic</t>
  </si>
  <si>
    <t>PPC Specialist</t>
  </si>
  <si>
    <t>Senior Ad Operations Specialist</t>
  </si>
  <si>
    <t>Senior - Data Engineer</t>
  </si>
  <si>
    <t>Google Analytics Associate - WFH</t>
  </si>
  <si>
    <t>Programmatic Executive</t>
  </si>
  <si>
    <t>Remote Android Developer</t>
  </si>
  <si>
    <t>Infosys</t>
  </si>
  <si>
    <t>Linux Lead</t>
  </si>
  <si>
    <t>Nodejs Lead</t>
  </si>
  <si>
    <t>Technology Analyst - .Net</t>
  </si>
  <si>
    <t>Dotnet Developer</t>
  </si>
  <si>
    <t>Technology Analyst - NodeJs (3-5 years) - Jaipur</t>
  </si>
  <si>
    <t>Java Developer (3-5 yrs) Bhubaneshwar</t>
  </si>
  <si>
    <t>Senior Dotnet Developer</t>
  </si>
  <si>
    <t>Technology Analyst - Devops - (3-5 years) - BHUBANESWAR</t>
  </si>
  <si>
    <t>Java Developer (5-8 yrs) Bhubaneshwar</t>
  </si>
  <si>
    <t>Technology Analyst - NodeJs (3-5 years) - Pune</t>
  </si>
  <si>
    <t>Java Developer (5-8 yrs) Indore</t>
  </si>
  <si>
    <t>Technology Analyst - NodeJs (3-5 years) - Bhubaneshwar</t>
  </si>
  <si>
    <t>Genpact</t>
  </si>
  <si>
    <t>Hiring for OTC- JAIPUR</t>
  </si>
  <si>
    <t>C++ Developer</t>
  </si>
  <si>
    <t>Hiring for RTR- Jaipur</t>
  </si>
  <si>
    <t>Maharashtra</t>
  </si>
  <si>
    <t>Delhi</t>
  </si>
  <si>
    <t>Telangana</t>
  </si>
  <si>
    <t>Karnataka</t>
  </si>
  <si>
    <t>Haryana</t>
  </si>
  <si>
    <t>Tamil Nadu</t>
  </si>
  <si>
    <t>Uttar Pradesh</t>
  </si>
  <si>
    <t>West Bengal</t>
  </si>
  <si>
    <t>Kerala</t>
  </si>
  <si>
    <t>Madhya Pradesh</t>
  </si>
  <si>
    <t>Odisha</t>
  </si>
  <si>
    <t>Andhra Pradesh</t>
  </si>
  <si>
    <t>Rajasthan</t>
  </si>
  <si>
    <t>India</t>
  </si>
  <si>
    <t>Gujarat</t>
  </si>
  <si>
    <t>Punjab</t>
  </si>
  <si>
    <t>Entry level</t>
  </si>
  <si>
    <t>Mid-Senior level</t>
  </si>
  <si>
    <t>Director</t>
  </si>
  <si>
    <t>Associate</t>
  </si>
  <si>
    <t>IT Services and IT Consulting</t>
  </si>
  <si>
    <t>Technology, Information and Internet</t>
  </si>
  <si>
    <t>Real Estate</t>
  </si>
  <si>
    <t>Telecommunications</t>
  </si>
  <si>
    <t>Empresas</t>
  </si>
  <si>
    <t>Qtd. Vagas</t>
  </si>
  <si>
    <t>Qtd. Vagas sem Aplicações</t>
  </si>
  <si>
    <t>Trustable Applicants</t>
  </si>
  <si>
    <r>
      <t xml:space="preserve">Vagas sem aplicações </t>
    </r>
    <r>
      <rPr>
        <b/>
        <sz val="11"/>
        <color theme="1"/>
        <rFont val="Calibri"/>
        <family val="2"/>
        <scheme val="minor"/>
      </rPr>
      <t>(%)</t>
    </r>
  </si>
  <si>
    <t>"Total_Applicants não confiáveis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</si>
</sst>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NumberFormat="1" applyFont="1" applyBorder="1"/>
    <xf numFmtId="0" fontId="0" fillId="0" borderId="0" xfId="0" applyFill="1"/>
    <xf numFmtId="0" fontId="0" fillId="0" borderId="0" xfId="0" applyNumberFormat="1" applyFont="1" applyFill="1" applyBorder="1"/>
    <xf numFmtId="0" fontId="0" fillId="0" borderId="0" xfId="0" applyBorder="1"/>
    <xf numFmtId="0" fontId="0" fillId="0" borderId="0" xfId="0" applyFill="1" applyBorder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NumberFormat="1" applyFont="1"/>
  </cellXfs>
  <cellStyles count="1">
    <cellStyle name="Normal" xfId="0" builtinId="0"/>
  </cellStyles>
  <dxfs count="8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86EACA4-563F-4AE3-B1AC-5228D2413017}" autoFormatId="16" applyNumberFormats="0" applyBorderFormats="0" applyFontFormats="0" applyPatternFormats="0" applyAlignmentFormats="0" applyWidthHeightFormats="0">
  <queryTableRefresh nextId="49">
    <queryTableFields count="42">
      <queryTableField id="1" name="Company_Name" tableColumnId="1"/>
      <queryTableField id="2" name="Class" tableColumnId="2"/>
      <queryTableField id="3" name="Designation" tableColumnId="3"/>
      <queryTableField id="4" name="Location" tableColumnId="4"/>
      <queryTableField id="5" name="Total_applicants" tableColumnId="5"/>
      <queryTableField id="48" dataBound="0" tableColumnId="48"/>
      <queryTableField id="6" name="LinkedIn_Followers" tableColumnId="6"/>
      <queryTableField id="7" name="Level" tableColumnId="7"/>
      <queryTableField id="8" name="Involvement" tableColumnId="8"/>
      <queryTableField id="9" name="Employee_count" tableColumnId="9"/>
      <queryTableField id="10" name="Industry" tableColumnId="10"/>
      <queryTableField id="11" name="PYTHON" tableColumnId="11"/>
      <queryTableField id="12" name="C++" tableColumnId="12"/>
      <queryTableField id="13" name="JAVA" tableColumnId="13"/>
      <queryTableField id="14" name="HADOOP" tableColumnId="14"/>
      <queryTableField id="15" name="SCALA" tableColumnId="15"/>
      <queryTableField id="16" name="FLASK" tableColumnId="16"/>
      <queryTableField id="17" name="PANDAS" tableColumnId="17"/>
      <queryTableField id="18" name="SPARK" tableColumnId="18"/>
      <queryTableField id="19" name="NUMPY" tableColumnId="19"/>
      <queryTableField id="20" name="PHP" tableColumnId="20"/>
      <queryTableField id="21" name="SQL" tableColumnId="21"/>
      <queryTableField id="22" name="MYSQL" tableColumnId="22"/>
      <queryTableField id="23" name="CSS" tableColumnId="23"/>
      <queryTableField id="24" name="MONGODB" tableColumnId="24"/>
      <queryTableField id="25" name="NLTK" tableColumnId="25"/>
      <queryTableField id="26" name="TENSORFLOW" tableColumnId="26"/>
      <queryTableField id="27" name="LINUX" tableColumnId="27"/>
      <queryTableField id="28" name="RUBY" tableColumnId="28"/>
      <queryTableField id="29" name="JAVASCRIPT" tableColumnId="29"/>
      <queryTableField id="30" name="DJANGO" tableColumnId="30"/>
      <queryTableField id="31" name="REACT" tableColumnId="31"/>
      <queryTableField id="32" name="REACTJS" tableColumnId="32"/>
      <queryTableField id="33" name="AI" tableColumnId="33"/>
      <queryTableField id="34" name="UI" tableColumnId="34"/>
      <queryTableField id="35" name="TABLEAU" tableColumnId="35"/>
      <queryTableField id="36" name="NODEJS" tableColumnId="36"/>
      <queryTableField id="37" name="EXCEL" tableColumnId="37"/>
      <queryTableField id="38" name="POWER BI" tableColumnId="38"/>
      <queryTableField id="39" name="SELENIUM" tableColumnId="39"/>
      <queryTableField id="40" name="HTML" tableColumnId="40"/>
      <queryTableField id="41" name="ML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BAC82-2FED-454D-ADBA-BAA8EEA2BAD3}" name="final_data" displayName="final_data" ref="A1:AP812" tableType="queryTable" totalsRowShown="0">
  <autoFilter ref="A1:AP812" xr:uid="{A92BAC82-2FED-454D-ADBA-BAA8EEA2BAD3}"/>
  <tableColumns count="42">
    <tableColumn id="1" xr3:uid="{C60F13D9-2E09-45BA-9CDE-59EB2117BAC0}" uniqueName="1" name="Company_Name" queryTableFieldId="1" dataDxfId="3"/>
    <tableColumn id="2" xr3:uid="{BC3EFC7C-CF6A-47E2-B473-B1E1010D5320}" uniqueName="2" name="Class" queryTableFieldId="2" dataDxfId="2"/>
    <tableColumn id="3" xr3:uid="{3ECE78D0-FA47-4216-994C-5FBBC2FA11C3}" uniqueName="3" name="Designation" queryTableFieldId="3" dataDxfId="7"/>
    <tableColumn id="4" xr3:uid="{9C4E9DE4-5C7F-41CC-B78D-E80F74E45EAD}" uniqueName="4" name="Location" queryTableFieldId="4" dataDxfId="6"/>
    <tableColumn id="5" xr3:uid="{DE624E19-2F13-40DE-B657-930169147FC1}" uniqueName="5" name="Total_applicants" queryTableFieldId="5"/>
    <tableColumn id="48" xr3:uid="{EC3F2AC3-3D83-4788-ADA8-1DF54ADA539D}" uniqueName="48" name="Trustable Applicants" queryTableFieldId="48" dataDxfId="0">
      <calculatedColumnFormula>IF(final_data[[#This Row],[Total_applicants]]=0,"unknown","-")</calculatedColumnFormula>
    </tableColumn>
    <tableColumn id="6" xr3:uid="{9AAD71A4-42BF-4B6A-B2DA-CBAA5DD28298}" uniqueName="6" name="LinkedIn_Followers" queryTableFieldId="6"/>
    <tableColumn id="7" xr3:uid="{35164219-CBA3-4ACD-B477-424300531A02}" uniqueName="7" name="Contract " queryTableFieldId="7" dataDxfId="1"/>
    <tableColumn id="8" xr3:uid="{F903C90F-2D51-4E0E-BFE7-E926C6E3D1BD}" uniqueName="8" name="Level" queryTableFieldId="8" dataDxfId="5"/>
    <tableColumn id="9" xr3:uid="{A38DE43F-96AD-478E-B800-D4077F3E6A2E}" uniqueName="9" name="Employee_count" queryTableFieldId="9"/>
    <tableColumn id="10" xr3:uid="{93A31194-1516-4203-B73C-FCD2FCAD77D3}" uniqueName="10" name="Industry" queryTableFieldId="10" dataDxfId="4"/>
    <tableColumn id="11" xr3:uid="{BAFB86E5-969F-4ED4-93CB-299258B7B61C}" uniqueName="11" name="PYTHON" queryTableFieldId="11"/>
    <tableColumn id="12" xr3:uid="{D41F57C2-9E7D-463E-A177-50469CF6D052}" uniqueName="12" name="C++" queryTableFieldId="12"/>
    <tableColumn id="13" xr3:uid="{B446DA3A-3F38-4608-A817-9ACA5D9AA19B}" uniqueName="13" name="JAVA" queryTableFieldId="13"/>
    <tableColumn id="14" xr3:uid="{38C487F6-E383-4D25-8D54-BFA6C8D327E1}" uniqueName="14" name="HADOOP" queryTableFieldId="14"/>
    <tableColumn id="15" xr3:uid="{EE358C56-144F-41C7-99E0-42EF291D9FA1}" uniqueName="15" name="SCALA" queryTableFieldId="15"/>
    <tableColumn id="16" xr3:uid="{C7A6E6DD-0A22-43AB-A190-9784194240A4}" uniqueName="16" name="FLASK" queryTableFieldId="16"/>
    <tableColumn id="17" xr3:uid="{BA7701FB-2AE3-4569-9A85-D909B1009B97}" uniqueName="17" name="PANDAS" queryTableFieldId="17"/>
    <tableColumn id="18" xr3:uid="{9AB7AE59-47DD-44D5-9676-69B461A65A0B}" uniqueName="18" name="SPARK" queryTableFieldId="18"/>
    <tableColumn id="19" xr3:uid="{B7138877-E5DE-4992-A309-C0F4AE8A33FD}" uniqueName="19" name="NUMPY" queryTableFieldId="19"/>
    <tableColumn id="20" xr3:uid="{B005EF7E-9053-435E-B011-9C9D3D939765}" uniqueName="20" name="PHP" queryTableFieldId="20"/>
    <tableColumn id="21" xr3:uid="{490AEE7D-79F6-4694-8FC1-C989C9A0D6B0}" uniqueName="21" name="SQL" queryTableFieldId="21"/>
    <tableColumn id="22" xr3:uid="{6F67807F-034A-4FD8-856A-95194C477AAE}" uniqueName="22" name="MYSQL" queryTableFieldId="22"/>
    <tableColumn id="23" xr3:uid="{335A0B93-FCEA-4CE8-9887-B725CFE56CEE}" uniqueName="23" name="CSS" queryTableFieldId="23"/>
    <tableColumn id="24" xr3:uid="{221E5827-E764-48C4-99D1-68C450BC23BF}" uniqueName="24" name="MONGODB" queryTableFieldId="24"/>
    <tableColumn id="25" xr3:uid="{DCAE8141-62A7-4CF9-846F-639B04D4C9BC}" uniqueName="25" name="NLTK" queryTableFieldId="25"/>
    <tableColumn id="26" xr3:uid="{C7355CB2-77D4-4EA0-BD1B-FF0910C23AD0}" uniqueName="26" name="TENSORFLOW" queryTableFieldId="26"/>
    <tableColumn id="27" xr3:uid="{637DBB75-4806-414C-804E-F706B6163957}" uniqueName="27" name="LINUX" queryTableFieldId="27"/>
    <tableColumn id="28" xr3:uid="{4D0F2686-824B-4F19-B292-4E7ECD68A996}" uniqueName="28" name="RUBY" queryTableFieldId="28"/>
    <tableColumn id="29" xr3:uid="{1C5F5330-F857-4976-99BC-150D908CDC8A}" uniqueName="29" name="JAVASCRIPT" queryTableFieldId="29"/>
    <tableColumn id="30" xr3:uid="{D518A3EC-6C4B-4569-A6C9-C4A85594A90E}" uniqueName="30" name="DJANGO" queryTableFieldId="30"/>
    <tableColumn id="31" xr3:uid="{F7620245-0DA6-462D-9D20-CE809F185D60}" uniqueName="31" name="REACT" queryTableFieldId="31"/>
    <tableColumn id="32" xr3:uid="{F8584C54-987C-4214-96FE-CB24218BDDE5}" uniqueName="32" name="REACTJS" queryTableFieldId="32"/>
    <tableColumn id="33" xr3:uid="{DCC89779-BF6B-4DE2-BE7E-FD55CF9E4461}" uniqueName="33" name="AI" queryTableFieldId="33"/>
    <tableColumn id="34" xr3:uid="{40B5DAE1-F9CB-4794-9DD9-5216D428D55D}" uniqueName="34" name="UI" queryTableFieldId="34"/>
    <tableColumn id="35" xr3:uid="{693E745F-B88B-42C4-88AC-E1E8C44B5960}" uniqueName="35" name="TABLEAU" queryTableFieldId="35"/>
    <tableColumn id="36" xr3:uid="{8FE3724A-A5D2-4232-8AE9-A923C4F6CE90}" uniqueName="36" name="NODEJS" queryTableFieldId="36"/>
    <tableColumn id="37" xr3:uid="{2E0337A0-151B-4075-B594-9C7BF1CE68D3}" uniqueName="37" name="EXCEL" queryTableFieldId="37"/>
    <tableColumn id="38" xr3:uid="{8222101A-6DBC-4669-B0D7-20C4C5EAE67B}" uniqueName="38" name="POWER BI" queryTableFieldId="38"/>
    <tableColumn id="39" xr3:uid="{47C30930-F1B3-4E4C-8967-81A8A2879142}" uniqueName="39" name="SELENIUM" queryTableFieldId="39"/>
    <tableColumn id="40" xr3:uid="{95487FFA-92E6-464D-8132-B246E5BA8CEB}" uniqueName="40" name="HTML" queryTableFieldId="40"/>
    <tableColumn id="41" xr3:uid="{7AF30943-52DF-4D6B-8C1A-3330D9B0E6E5}" uniqueName="41" name="ML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9185-0BF9-4745-9907-93606D02B63D}">
  <dimension ref="A1:AP818"/>
  <sheetViews>
    <sheetView tabSelected="1" workbookViewId="0">
      <pane ySplit="1" topLeftCell="A2" activePane="bottomLeft" state="frozen"/>
      <selection activeCell="S1" sqref="S1"/>
      <selection pane="bottomLeft" activeCell="C2" sqref="C2"/>
    </sheetView>
  </sheetViews>
  <sheetFormatPr defaultRowHeight="15" x14ac:dyDescent="0.25"/>
  <cols>
    <col min="1" max="1" width="24.85546875" bestFit="1" customWidth="1"/>
    <col min="2" max="2" width="7.7109375" bestFit="1" customWidth="1"/>
    <col min="3" max="3" width="40.85546875" customWidth="1"/>
    <col min="4" max="4" width="38.85546875" customWidth="1"/>
    <col min="5" max="5" width="16.140625" bestFit="1" customWidth="1"/>
    <col min="6" max="6" width="21.5703125" bestFit="1" customWidth="1"/>
    <col min="7" max="7" width="17.85546875" style="5" bestFit="1" customWidth="1"/>
    <col min="8" max="8" width="20.85546875" bestFit="1" customWidth="1"/>
    <col min="9" max="9" width="9.5703125" bestFit="1" customWidth="1"/>
    <col min="10" max="10" width="16.28515625" bestFit="1" customWidth="1"/>
    <col min="11" max="11" width="18.28515625" bestFit="1" customWidth="1"/>
    <col min="12" max="12" width="35.42578125" bestFit="1" customWidth="1"/>
    <col min="13" max="13" width="10.7109375" bestFit="1" customWidth="1"/>
    <col min="14" max="14" width="6.42578125" bestFit="1" customWidth="1"/>
    <col min="15" max="15" width="7.85546875" bestFit="1" customWidth="1"/>
    <col min="16" max="16" width="11.140625" bestFit="1" customWidth="1"/>
    <col min="17" max="17" width="8.85546875" bestFit="1" customWidth="1"/>
    <col min="18" max="18" width="8.5703125" bestFit="1" customWidth="1"/>
    <col min="19" max="19" width="10.7109375" bestFit="1" customWidth="1"/>
    <col min="20" max="20" width="9" bestFit="1" customWidth="1"/>
    <col min="21" max="21" width="10.28515625" bestFit="1" customWidth="1"/>
    <col min="22" max="22" width="6.85546875" bestFit="1" customWidth="1"/>
    <col min="23" max="23" width="6.5703125" bestFit="1" customWidth="1"/>
    <col min="24" max="24" width="9.5703125" bestFit="1" customWidth="1"/>
    <col min="25" max="25" width="6.42578125" bestFit="1" customWidth="1"/>
    <col min="26" max="26" width="13.28515625" bestFit="1" customWidth="1"/>
    <col min="27" max="27" width="7.7109375" bestFit="1" customWidth="1"/>
    <col min="28" max="28" width="15.7109375" bestFit="1" customWidth="1"/>
    <col min="29" max="29" width="8.7109375" bestFit="1" customWidth="1"/>
    <col min="30" max="30" width="8.140625" bestFit="1" customWidth="1"/>
    <col min="31" max="31" width="13.85546875" bestFit="1" customWidth="1"/>
    <col min="32" max="32" width="10.85546875" bestFit="1" customWidth="1"/>
    <col min="33" max="33" width="8.85546875" bestFit="1" customWidth="1"/>
    <col min="34" max="34" width="10.5703125" bestFit="1" customWidth="1"/>
    <col min="35" max="35" width="5.140625" bestFit="1" customWidth="1"/>
    <col min="36" max="36" width="5.28515625" bestFit="1" customWidth="1"/>
    <col min="37" max="37" width="11.28515625" bestFit="1" customWidth="1"/>
    <col min="38" max="38" width="10.140625" bestFit="1" customWidth="1"/>
    <col min="39" max="39" width="8.42578125" bestFit="1" customWidth="1"/>
    <col min="40" max="40" width="12.140625" bestFit="1" customWidth="1"/>
    <col min="41" max="41" width="12.42578125" bestFit="1" customWidth="1"/>
    <col min="42" max="42" width="8.28515625" bestFit="1" customWidth="1"/>
    <col min="43" max="43" width="6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476</v>
      </c>
      <c r="G1" s="5" t="s">
        <v>5</v>
      </c>
      <c r="H1" t="s">
        <v>158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5">
      <c r="A2" s="1" t="s">
        <v>40</v>
      </c>
      <c r="B2" s="1" t="s">
        <v>41</v>
      </c>
      <c r="C2" s="11" t="s">
        <v>42</v>
      </c>
      <c r="D2" s="1" t="s">
        <v>449</v>
      </c>
      <c r="E2">
        <v>0</v>
      </c>
      <c r="F2" s="10" t="str">
        <f>IF(final_data[[#This Row],[Total_applicants]]=0,"unknown","-")</f>
        <v>unknown</v>
      </c>
      <c r="G2" s="5">
        <v>6737300</v>
      </c>
      <c r="H2" s="1" t="s">
        <v>43</v>
      </c>
      <c r="I2" s="1" t="s">
        <v>465</v>
      </c>
      <c r="J2">
        <v>10001</v>
      </c>
      <c r="K2" s="1" t="s">
        <v>469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</row>
    <row r="3" spans="1:42" x14ac:dyDescent="0.25">
      <c r="A3" s="1" t="s">
        <v>40</v>
      </c>
      <c r="B3" s="1" t="s">
        <v>41</v>
      </c>
      <c r="C3" s="1" t="s">
        <v>42</v>
      </c>
      <c r="D3" s="1" t="s">
        <v>450</v>
      </c>
      <c r="E3">
        <v>121</v>
      </c>
      <c r="F3" s="10" t="str">
        <f>IF(final_data[[#This Row],[Total_applicants]]=0,"unknown","-")</f>
        <v>-</v>
      </c>
      <c r="G3" s="5">
        <v>6737300</v>
      </c>
      <c r="H3" s="1" t="s">
        <v>43</v>
      </c>
      <c r="I3" s="1" t="s">
        <v>465</v>
      </c>
      <c r="J3">
        <v>10001</v>
      </c>
      <c r="K3" s="1" t="s">
        <v>469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</row>
    <row r="4" spans="1:42" x14ac:dyDescent="0.25">
      <c r="A4" s="1" t="s">
        <v>40</v>
      </c>
      <c r="B4" s="1" t="s">
        <v>41</v>
      </c>
      <c r="C4" s="1" t="s">
        <v>42</v>
      </c>
      <c r="D4" s="1" t="s">
        <v>450</v>
      </c>
      <c r="E4">
        <v>0</v>
      </c>
      <c r="F4" s="10" t="str">
        <f>IF(final_data[[#This Row],[Total_applicants]]=0,"unknown","-")</f>
        <v>unknown</v>
      </c>
      <c r="G4" s="5">
        <v>6737300</v>
      </c>
      <c r="H4" s="1" t="s">
        <v>43</v>
      </c>
      <c r="I4" s="1" t="s">
        <v>465</v>
      </c>
      <c r="J4">
        <v>10001</v>
      </c>
      <c r="K4" s="1" t="s">
        <v>469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1</v>
      </c>
    </row>
    <row r="5" spans="1:42" x14ac:dyDescent="0.25">
      <c r="A5" s="1" t="s">
        <v>40</v>
      </c>
      <c r="B5" s="1" t="s">
        <v>41</v>
      </c>
      <c r="C5" s="1" t="s">
        <v>44</v>
      </c>
      <c r="D5" s="1" t="s">
        <v>451</v>
      </c>
      <c r="E5">
        <v>0</v>
      </c>
      <c r="F5" s="10" t="str">
        <f>IF(final_data[[#This Row],[Total_applicants]]=0,"unknown","-")</f>
        <v>unknown</v>
      </c>
      <c r="G5" s="5">
        <v>6737300</v>
      </c>
      <c r="H5" s="1" t="s">
        <v>43</v>
      </c>
      <c r="I5" s="1" t="s">
        <v>466</v>
      </c>
      <c r="J5">
        <v>10001</v>
      </c>
      <c r="K5" s="1" t="s">
        <v>469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 x14ac:dyDescent="0.25">
      <c r="A6" s="1" t="s">
        <v>40</v>
      </c>
      <c r="B6" s="1" t="s">
        <v>41</v>
      </c>
      <c r="C6" s="1" t="s">
        <v>42</v>
      </c>
      <c r="D6" s="1" t="s">
        <v>449</v>
      </c>
      <c r="E6">
        <v>119</v>
      </c>
      <c r="F6" s="10" t="str">
        <f>IF(final_data[[#This Row],[Total_applicants]]=0,"unknown","-")</f>
        <v>-</v>
      </c>
      <c r="G6" s="5">
        <v>6737300</v>
      </c>
      <c r="H6" s="1" t="s">
        <v>43</v>
      </c>
      <c r="I6" s="1" t="s">
        <v>465</v>
      </c>
      <c r="J6">
        <v>10001</v>
      </c>
      <c r="K6" s="1" t="s">
        <v>469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1</v>
      </c>
    </row>
    <row r="7" spans="1:42" x14ac:dyDescent="0.25">
      <c r="A7" s="1" t="s">
        <v>40</v>
      </c>
      <c r="B7" s="1" t="s">
        <v>41</v>
      </c>
      <c r="C7" s="1" t="s">
        <v>44</v>
      </c>
      <c r="D7" s="1" t="s">
        <v>451</v>
      </c>
      <c r="E7">
        <v>39</v>
      </c>
      <c r="F7" s="10" t="str">
        <f>IF(final_data[[#This Row],[Total_applicants]]=0,"unknown","-")</f>
        <v>-</v>
      </c>
      <c r="G7" s="5">
        <v>6737300</v>
      </c>
      <c r="H7" s="1" t="s">
        <v>43</v>
      </c>
      <c r="I7" s="1" t="s">
        <v>466</v>
      </c>
      <c r="J7">
        <v>10001</v>
      </c>
      <c r="K7" s="1" t="s">
        <v>469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</row>
    <row r="8" spans="1:42" x14ac:dyDescent="0.25">
      <c r="A8" s="1" t="s">
        <v>40</v>
      </c>
      <c r="B8" s="1" t="s">
        <v>41</v>
      </c>
      <c r="C8" s="1" t="s">
        <v>44</v>
      </c>
      <c r="D8" s="1" t="s">
        <v>451</v>
      </c>
      <c r="E8">
        <v>22</v>
      </c>
      <c r="F8" s="10" t="str">
        <f>IF(final_data[[#This Row],[Total_applicants]]=0,"unknown","-")</f>
        <v>-</v>
      </c>
      <c r="G8" s="5">
        <v>6737300</v>
      </c>
      <c r="H8" s="1" t="s">
        <v>43</v>
      </c>
      <c r="I8" s="1" t="s">
        <v>466</v>
      </c>
      <c r="J8">
        <v>10001</v>
      </c>
      <c r="K8" s="1" t="s">
        <v>469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</row>
    <row r="9" spans="1:42" x14ac:dyDescent="0.25">
      <c r="A9" s="1" t="s">
        <v>40</v>
      </c>
      <c r="B9" s="1" t="s">
        <v>41</v>
      </c>
      <c r="C9" s="1" t="s">
        <v>45</v>
      </c>
      <c r="D9" s="1" t="s">
        <v>449</v>
      </c>
      <c r="E9">
        <v>158</v>
      </c>
      <c r="F9" s="10" t="str">
        <f>IF(final_data[[#This Row],[Total_applicants]]=0,"unknown","-")</f>
        <v>-</v>
      </c>
      <c r="G9" s="5">
        <v>6737300</v>
      </c>
      <c r="H9" s="1" t="s">
        <v>43</v>
      </c>
      <c r="I9" s="1" t="s">
        <v>465</v>
      </c>
      <c r="J9">
        <v>10001</v>
      </c>
      <c r="K9" s="1" t="s">
        <v>469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s="1" t="s">
        <v>40</v>
      </c>
      <c r="B10" s="1" t="s">
        <v>41</v>
      </c>
      <c r="C10" s="1" t="s">
        <v>44</v>
      </c>
      <c r="D10" s="1" t="s">
        <v>449</v>
      </c>
      <c r="E10">
        <v>11</v>
      </c>
      <c r="F10" s="10" t="str">
        <f>IF(final_data[[#This Row],[Total_applicants]]=0,"unknown","-")</f>
        <v>-</v>
      </c>
      <c r="G10" s="5">
        <v>6737300</v>
      </c>
      <c r="H10" s="1" t="s">
        <v>43</v>
      </c>
      <c r="I10" s="1" t="s">
        <v>466</v>
      </c>
      <c r="J10">
        <v>10001</v>
      </c>
      <c r="K10" s="1" t="s">
        <v>469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s="1" t="s">
        <v>40</v>
      </c>
      <c r="B11" s="1" t="s">
        <v>41</v>
      </c>
      <c r="C11" s="1" t="s">
        <v>44</v>
      </c>
      <c r="D11" s="1" t="s">
        <v>449</v>
      </c>
      <c r="E11">
        <v>47</v>
      </c>
      <c r="F11" s="10" t="str">
        <f>IF(final_data[[#This Row],[Total_applicants]]=0,"unknown","-")</f>
        <v>-</v>
      </c>
      <c r="G11" s="5">
        <v>6737300</v>
      </c>
      <c r="H11" s="1" t="s">
        <v>43</v>
      </c>
      <c r="I11" s="1" t="s">
        <v>466</v>
      </c>
      <c r="J11">
        <v>10001</v>
      </c>
      <c r="K11" s="1" t="s">
        <v>469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s="1" t="s">
        <v>40</v>
      </c>
      <c r="B12" s="1" t="s">
        <v>41</v>
      </c>
      <c r="C12" s="1" t="s">
        <v>46</v>
      </c>
      <c r="D12" s="1" t="s">
        <v>449</v>
      </c>
      <c r="E12">
        <v>20</v>
      </c>
      <c r="F12" s="10" t="str">
        <f>IF(final_data[[#This Row],[Total_applicants]]=0,"unknown","-")</f>
        <v>-</v>
      </c>
      <c r="G12" s="5">
        <v>6737300</v>
      </c>
      <c r="H12" s="1" t="s">
        <v>43</v>
      </c>
      <c r="I12" s="1" t="s">
        <v>466</v>
      </c>
      <c r="J12">
        <v>10001</v>
      </c>
      <c r="K12" s="1" t="s">
        <v>469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s="1" t="s">
        <v>40</v>
      </c>
      <c r="B13" s="1" t="s">
        <v>41</v>
      </c>
      <c r="C13" s="1" t="s">
        <v>44</v>
      </c>
      <c r="D13" s="1" t="s">
        <v>449</v>
      </c>
      <c r="E13">
        <v>71</v>
      </c>
      <c r="F13" s="10" t="str">
        <f>IF(final_data[[#This Row],[Total_applicants]]=0,"unknown","-")</f>
        <v>-</v>
      </c>
      <c r="G13" s="5">
        <v>6737300</v>
      </c>
      <c r="H13" s="1" t="s">
        <v>43</v>
      </c>
      <c r="I13" s="1" t="s">
        <v>466</v>
      </c>
      <c r="J13">
        <v>10001</v>
      </c>
      <c r="K13" s="1" t="s">
        <v>469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s="1" t="s">
        <v>40</v>
      </c>
      <c r="B14" s="1" t="s">
        <v>41</v>
      </c>
      <c r="C14" s="1" t="s">
        <v>42</v>
      </c>
      <c r="D14" s="1" t="s">
        <v>449</v>
      </c>
      <c r="E14">
        <v>1</v>
      </c>
      <c r="F14" s="10" t="str">
        <f>IF(final_data[[#This Row],[Total_applicants]]=0,"unknown","-")</f>
        <v>-</v>
      </c>
      <c r="G14" s="5">
        <v>6737300</v>
      </c>
      <c r="H14" s="1" t="s">
        <v>43</v>
      </c>
      <c r="I14" s="1" t="s">
        <v>465</v>
      </c>
      <c r="J14">
        <v>10001</v>
      </c>
      <c r="K14" s="1" t="s">
        <v>469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1</v>
      </c>
    </row>
    <row r="15" spans="1:42" x14ac:dyDescent="0.25">
      <c r="A15" s="1" t="s">
        <v>40</v>
      </c>
      <c r="B15" s="1" t="s">
        <v>41</v>
      </c>
      <c r="C15" s="1" t="s">
        <v>47</v>
      </c>
      <c r="D15" s="1" t="s">
        <v>449</v>
      </c>
      <c r="E15">
        <v>104</v>
      </c>
      <c r="F15" s="10" t="str">
        <f>IF(final_data[[#This Row],[Total_applicants]]=0,"unknown","-")</f>
        <v>-</v>
      </c>
      <c r="G15" s="5">
        <v>6737300</v>
      </c>
      <c r="H15" s="1" t="s">
        <v>43</v>
      </c>
      <c r="I15" s="1" t="s">
        <v>465</v>
      </c>
      <c r="J15">
        <v>10001</v>
      </c>
      <c r="K15" s="1" t="s">
        <v>469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s="1" t="s">
        <v>40</v>
      </c>
      <c r="B16" s="1" t="s">
        <v>41</v>
      </c>
      <c r="C16" s="1" t="s">
        <v>45</v>
      </c>
      <c r="D16" s="1" t="s">
        <v>452</v>
      </c>
      <c r="E16">
        <v>0</v>
      </c>
      <c r="F16" s="10" t="str">
        <f>IF(final_data[[#This Row],[Total_applicants]]=0,"unknown","-")</f>
        <v>unknown</v>
      </c>
      <c r="G16" s="5">
        <v>6737300</v>
      </c>
      <c r="H16" s="1" t="s">
        <v>43</v>
      </c>
      <c r="I16" s="1" t="s">
        <v>465</v>
      </c>
      <c r="J16">
        <v>10001</v>
      </c>
      <c r="K16" s="1" t="s">
        <v>469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s="1" t="s">
        <v>40</v>
      </c>
      <c r="B17" s="1" t="s">
        <v>41</v>
      </c>
      <c r="C17" s="1" t="s">
        <v>47</v>
      </c>
      <c r="D17" s="1" t="s">
        <v>449</v>
      </c>
      <c r="E17">
        <v>0</v>
      </c>
      <c r="F17" s="10" t="str">
        <f>IF(final_data[[#This Row],[Total_applicants]]=0,"unknown","-")</f>
        <v>unknown</v>
      </c>
      <c r="G17" s="5">
        <v>6737300</v>
      </c>
      <c r="H17" s="1" t="s">
        <v>43</v>
      </c>
      <c r="I17" s="1" t="s">
        <v>465</v>
      </c>
      <c r="J17">
        <v>10001</v>
      </c>
      <c r="K17" s="1" t="s">
        <v>469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s="1" t="s">
        <v>40</v>
      </c>
      <c r="B18" s="1" t="s">
        <v>41</v>
      </c>
      <c r="C18" s="1" t="s">
        <v>42</v>
      </c>
      <c r="D18" s="1" t="s">
        <v>452</v>
      </c>
      <c r="E18">
        <v>0</v>
      </c>
      <c r="F18" s="10" t="str">
        <f>IF(final_data[[#This Row],[Total_applicants]]=0,"unknown","-")</f>
        <v>unknown</v>
      </c>
      <c r="G18" s="5">
        <v>6737300</v>
      </c>
      <c r="H18" s="1" t="s">
        <v>43</v>
      </c>
      <c r="I18" s="1" t="s">
        <v>465</v>
      </c>
      <c r="J18">
        <v>10001</v>
      </c>
      <c r="K18" s="1" t="s">
        <v>469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</row>
    <row r="19" spans="1:42" x14ac:dyDescent="0.25">
      <c r="A19" s="1" t="s">
        <v>40</v>
      </c>
      <c r="B19" s="1" t="s">
        <v>41</v>
      </c>
      <c r="C19" s="1" t="s">
        <v>48</v>
      </c>
      <c r="D19" s="1" t="s">
        <v>449</v>
      </c>
      <c r="E19">
        <v>5</v>
      </c>
      <c r="F19" s="10" t="str">
        <f>IF(final_data[[#This Row],[Total_applicants]]=0,"unknown","-")</f>
        <v>-</v>
      </c>
      <c r="G19" s="5">
        <v>6737300</v>
      </c>
      <c r="H19" s="1" t="s">
        <v>43</v>
      </c>
      <c r="I19" s="1" t="s">
        <v>466</v>
      </c>
      <c r="J19">
        <v>10001</v>
      </c>
      <c r="K19" s="1" t="s">
        <v>469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s="1" t="s">
        <v>40</v>
      </c>
      <c r="B20" s="1" t="s">
        <v>41</v>
      </c>
      <c r="C20" s="1" t="s">
        <v>48</v>
      </c>
      <c r="D20" s="1" t="s">
        <v>449</v>
      </c>
      <c r="E20">
        <v>8</v>
      </c>
      <c r="F20" s="10" t="str">
        <f>IF(final_data[[#This Row],[Total_applicants]]=0,"unknown","-")</f>
        <v>-</v>
      </c>
      <c r="G20" s="5">
        <v>6737300</v>
      </c>
      <c r="H20" s="1" t="s">
        <v>43</v>
      </c>
      <c r="I20" s="1" t="s">
        <v>466</v>
      </c>
      <c r="J20">
        <v>10001</v>
      </c>
      <c r="K20" s="1" t="s">
        <v>469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s="1" t="s">
        <v>40</v>
      </c>
      <c r="B21" s="1" t="s">
        <v>41</v>
      </c>
      <c r="C21" s="1" t="s">
        <v>49</v>
      </c>
      <c r="D21" s="1" t="s">
        <v>452</v>
      </c>
      <c r="E21">
        <v>0</v>
      </c>
      <c r="F21" s="10" t="str">
        <f>IF(final_data[[#This Row],[Total_applicants]]=0,"unknown","-")</f>
        <v>unknown</v>
      </c>
      <c r="G21" s="5">
        <v>6737300</v>
      </c>
      <c r="H21" s="1" t="s">
        <v>43</v>
      </c>
      <c r="I21" s="1" t="s">
        <v>466</v>
      </c>
      <c r="J21">
        <v>10001</v>
      </c>
      <c r="K21" s="1" t="s">
        <v>469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1</v>
      </c>
    </row>
    <row r="22" spans="1:42" x14ac:dyDescent="0.25">
      <c r="A22" s="1" t="s">
        <v>40</v>
      </c>
      <c r="B22" s="1" t="s">
        <v>41</v>
      </c>
      <c r="C22" s="1" t="s">
        <v>42</v>
      </c>
      <c r="D22" s="1" t="s">
        <v>452</v>
      </c>
      <c r="E22">
        <v>0</v>
      </c>
      <c r="F22" s="10" t="str">
        <f>IF(final_data[[#This Row],[Total_applicants]]=0,"unknown","-")</f>
        <v>unknown</v>
      </c>
      <c r="G22" s="5">
        <v>6737300</v>
      </c>
      <c r="H22" s="1" t="s">
        <v>43</v>
      </c>
      <c r="I22" s="1" t="s">
        <v>465</v>
      </c>
      <c r="J22">
        <v>10001</v>
      </c>
      <c r="K22" s="1" t="s">
        <v>469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x14ac:dyDescent="0.25">
      <c r="A23" s="1" t="s">
        <v>40</v>
      </c>
      <c r="B23" s="1" t="s">
        <v>41</v>
      </c>
      <c r="C23" s="1" t="s">
        <v>42</v>
      </c>
      <c r="D23" s="1" t="s">
        <v>452</v>
      </c>
      <c r="E23">
        <v>77</v>
      </c>
      <c r="F23" s="10" t="str">
        <f>IF(final_data[[#This Row],[Total_applicants]]=0,"unknown","-")</f>
        <v>-</v>
      </c>
      <c r="G23" s="5">
        <v>6737300</v>
      </c>
      <c r="H23" s="1" t="s">
        <v>43</v>
      </c>
      <c r="I23" s="1" t="s">
        <v>465</v>
      </c>
      <c r="J23">
        <v>10001</v>
      </c>
      <c r="K23" s="1" t="s">
        <v>469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</row>
    <row r="24" spans="1:42" x14ac:dyDescent="0.25">
      <c r="A24" s="1" t="s">
        <v>40</v>
      </c>
      <c r="B24" s="1" t="s">
        <v>41</v>
      </c>
      <c r="C24" s="1" t="s">
        <v>50</v>
      </c>
      <c r="D24" s="1" t="s">
        <v>449</v>
      </c>
      <c r="E24">
        <v>71</v>
      </c>
      <c r="F24" s="10" t="str">
        <f>IF(final_data[[#This Row],[Total_applicants]]=0,"unknown","-")</f>
        <v>-</v>
      </c>
      <c r="G24" s="5">
        <v>6737300</v>
      </c>
      <c r="H24" s="1" t="s">
        <v>43</v>
      </c>
      <c r="I24" s="1" t="s">
        <v>466</v>
      </c>
      <c r="J24">
        <v>10001</v>
      </c>
      <c r="K24" s="1" t="s">
        <v>469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1</v>
      </c>
    </row>
    <row r="25" spans="1:42" x14ac:dyDescent="0.25">
      <c r="A25" s="1" t="s">
        <v>40</v>
      </c>
      <c r="B25" s="1" t="s">
        <v>41</v>
      </c>
      <c r="C25" s="1" t="s">
        <v>49</v>
      </c>
      <c r="D25" s="1" t="s">
        <v>449</v>
      </c>
      <c r="E25">
        <v>186</v>
      </c>
      <c r="F25" s="10" t="str">
        <f>IF(final_data[[#This Row],[Total_applicants]]=0,"unknown","-")</f>
        <v>-</v>
      </c>
      <c r="G25" s="5">
        <v>6737300</v>
      </c>
      <c r="H25" s="1" t="s">
        <v>43</v>
      </c>
      <c r="I25" s="1" t="s">
        <v>466</v>
      </c>
      <c r="J25">
        <v>10001</v>
      </c>
      <c r="K25" s="1" t="s">
        <v>469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s="1" t="s">
        <v>40</v>
      </c>
      <c r="B26" s="1" t="s">
        <v>41</v>
      </c>
      <c r="C26" s="1" t="s">
        <v>51</v>
      </c>
      <c r="D26" s="1" t="s">
        <v>449</v>
      </c>
      <c r="E26">
        <v>191</v>
      </c>
      <c r="F26" s="10" t="str">
        <f>IF(final_data[[#This Row],[Total_applicants]]=0,"unknown","-")</f>
        <v>-</v>
      </c>
      <c r="G26" s="5">
        <v>6737300</v>
      </c>
      <c r="H26" s="1" t="s">
        <v>43</v>
      </c>
      <c r="I26" s="1" t="s">
        <v>465</v>
      </c>
      <c r="J26">
        <v>10001</v>
      </c>
      <c r="K26" s="1" t="s">
        <v>469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s="1" t="s">
        <v>40</v>
      </c>
      <c r="B27" s="1" t="s">
        <v>41</v>
      </c>
      <c r="C27" s="1" t="s">
        <v>48</v>
      </c>
      <c r="D27" s="1" t="s">
        <v>449</v>
      </c>
      <c r="E27">
        <v>2</v>
      </c>
      <c r="F27" s="10" t="str">
        <f>IF(final_data[[#This Row],[Total_applicants]]=0,"unknown","-")</f>
        <v>-</v>
      </c>
      <c r="G27" s="5">
        <v>6737300</v>
      </c>
      <c r="H27" s="1" t="s">
        <v>43</v>
      </c>
      <c r="I27" s="1" t="s">
        <v>466</v>
      </c>
      <c r="J27">
        <v>10001</v>
      </c>
      <c r="K27" s="1" t="s">
        <v>469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s="1" t="s">
        <v>40</v>
      </c>
      <c r="B28" s="1" t="s">
        <v>41</v>
      </c>
      <c r="C28" s="1" t="s">
        <v>50</v>
      </c>
      <c r="D28" s="1" t="s">
        <v>449</v>
      </c>
      <c r="E28">
        <v>8</v>
      </c>
      <c r="F28" s="10" t="str">
        <f>IF(final_data[[#This Row],[Total_applicants]]=0,"unknown","-")</f>
        <v>-</v>
      </c>
      <c r="G28" s="5">
        <v>6737300</v>
      </c>
      <c r="H28" s="1" t="s">
        <v>43</v>
      </c>
      <c r="I28" s="1" t="s">
        <v>466</v>
      </c>
      <c r="J28">
        <v>10001</v>
      </c>
      <c r="K28" s="1" t="s">
        <v>469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</row>
    <row r="29" spans="1:42" x14ac:dyDescent="0.25">
      <c r="A29" s="1" t="s">
        <v>40</v>
      </c>
      <c r="B29" s="1" t="s">
        <v>41</v>
      </c>
      <c r="C29" s="1" t="s">
        <v>51</v>
      </c>
      <c r="D29" s="1" t="s">
        <v>449</v>
      </c>
      <c r="E29">
        <v>34</v>
      </c>
      <c r="F29" s="10" t="str">
        <f>IF(final_data[[#This Row],[Total_applicants]]=0,"unknown","-")</f>
        <v>-</v>
      </c>
      <c r="G29" s="5">
        <v>6737300</v>
      </c>
      <c r="H29" s="1" t="s">
        <v>43</v>
      </c>
      <c r="I29" s="1" t="s">
        <v>465</v>
      </c>
      <c r="J29">
        <v>10001</v>
      </c>
      <c r="K29" s="1" t="s">
        <v>469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s="1" t="s">
        <v>40</v>
      </c>
      <c r="B30" s="1" t="s">
        <v>41</v>
      </c>
      <c r="C30" s="1" t="s">
        <v>51</v>
      </c>
      <c r="D30" s="1" t="s">
        <v>453</v>
      </c>
      <c r="E30">
        <v>148</v>
      </c>
      <c r="F30" s="10" t="str">
        <f>IF(final_data[[#This Row],[Total_applicants]]=0,"unknown","-")</f>
        <v>-</v>
      </c>
      <c r="G30" s="5">
        <v>6737300</v>
      </c>
      <c r="H30" s="1" t="s">
        <v>43</v>
      </c>
      <c r="I30" s="1" t="s">
        <v>465</v>
      </c>
      <c r="J30">
        <v>10001</v>
      </c>
      <c r="K30" s="1" t="s">
        <v>469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s="1" t="s">
        <v>40</v>
      </c>
      <c r="B31" s="1" t="s">
        <v>41</v>
      </c>
      <c r="C31" s="1" t="s">
        <v>52</v>
      </c>
      <c r="D31" s="1" t="s">
        <v>449</v>
      </c>
      <c r="E31">
        <v>27</v>
      </c>
      <c r="F31" s="10" t="str">
        <f>IF(final_data[[#This Row],[Total_applicants]]=0,"unknown","-")</f>
        <v>-</v>
      </c>
      <c r="G31" s="5">
        <v>6737300</v>
      </c>
      <c r="H31" s="1" t="s">
        <v>43</v>
      </c>
      <c r="I31" s="1" t="s">
        <v>466</v>
      </c>
      <c r="J31">
        <v>10001</v>
      </c>
      <c r="K31" s="1" t="s">
        <v>469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s="1" t="s">
        <v>40</v>
      </c>
      <c r="B32" s="1" t="s">
        <v>41</v>
      </c>
      <c r="C32" s="1" t="s">
        <v>52</v>
      </c>
      <c r="D32" s="1" t="s">
        <v>449</v>
      </c>
      <c r="E32">
        <v>34</v>
      </c>
      <c r="F32" s="10" t="str">
        <f>IF(final_data[[#This Row],[Total_applicants]]=0,"unknown","-")</f>
        <v>-</v>
      </c>
      <c r="G32" s="5">
        <v>6737300</v>
      </c>
      <c r="H32" s="1" t="s">
        <v>43</v>
      </c>
      <c r="I32" s="1" t="s">
        <v>466</v>
      </c>
      <c r="J32">
        <v>10001</v>
      </c>
      <c r="K32" s="1" t="s">
        <v>469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s="1" t="s">
        <v>40</v>
      </c>
      <c r="B33" s="1" t="s">
        <v>41</v>
      </c>
      <c r="C33" s="1" t="s">
        <v>53</v>
      </c>
      <c r="D33" s="1" t="s">
        <v>449</v>
      </c>
      <c r="E33">
        <v>72</v>
      </c>
      <c r="F33" s="10" t="str">
        <f>IF(final_data[[#This Row],[Total_applicants]]=0,"unknown","-")</f>
        <v>-</v>
      </c>
      <c r="G33" s="5">
        <v>6737300</v>
      </c>
      <c r="H33" s="1" t="s">
        <v>43</v>
      </c>
      <c r="I33" s="1" t="s">
        <v>466</v>
      </c>
      <c r="J33">
        <v>10001</v>
      </c>
      <c r="K33" s="1" t="s">
        <v>469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s="1" t="s">
        <v>40</v>
      </c>
      <c r="B34" s="1" t="s">
        <v>41</v>
      </c>
      <c r="C34" s="1" t="s">
        <v>54</v>
      </c>
      <c r="D34" s="1" t="s">
        <v>452</v>
      </c>
      <c r="E34">
        <v>0</v>
      </c>
      <c r="F34" s="10" t="str">
        <f>IF(final_data[[#This Row],[Total_applicants]]=0,"unknown","-")</f>
        <v>unknown</v>
      </c>
      <c r="G34" s="5">
        <v>6737300</v>
      </c>
      <c r="H34" s="1" t="s">
        <v>43</v>
      </c>
      <c r="I34" s="1" t="s">
        <v>465</v>
      </c>
      <c r="J34">
        <v>10001</v>
      </c>
      <c r="K34" s="1" t="s">
        <v>469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</v>
      </c>
    </row>
    <row r="35" spans="1:42" x14ac:dyDescent="0.25">
      <c r="A35" s="1" t="s">
        <v>40</v>
      </c>
      <c r="B35" s="1" t="s">
        <v>41</v>
      </c>
      <c r="C35" s="1" t="s">
        <v>55</v>
      </c>
      <c r="D35" s="1" t="s">
        <v>454</v>
      </c>
      <c r="E35">
        <v>0</v>
      </c>
      <c r="F35" s="10" t="str">
        <f>IF(final_data[[#This Row],[Total_applicants]]=0,"unknown","-")</f>
        <v>unknown</v>
      </c>
      <c r="G35" s="5">
        <v>6737300</v>
      </c>
      <c r="H35" s="1" t="s">
        <v>43</v>
      </c>
      <c r="I35" s="1" t="s">
        <v>466</v>
      </c>
      <c r="J35">
        <v>10001</v>
      </c>
      <c r="K35" s="1" t="s">
        <v>469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1</v>
      </c>
    </row>
    <row r="36" spans="1:42" x14ac:dyDescent="0.25">
      <c r="A36" s="1" t="s">
        <v>40</v>
      </c>
      <c r="B36" s="1" t="s">
        <v>41</v>
      </c>
      <c r="C36" s="1" t="s">
        <v>56</v>
      </c>
      <c r="D36" s="1" t="s">
        <v>452</v>
      </c>
      <c r="E36">
        <v>3</v>
      </c>
      <c r="F36" s="10" t="str">
        <f>IF(final_data[[#This Row],[Total_applicants]]=0,"unknown","-")</f>
        <v>-</v>
      </c>
      <c r="G36" s="5">
        <v>6737300</v>
      </c>
      <c r="H36" s="1" t="s">
        <v>43</v>
      </c>
      <c r="I36" s="1" t="s">
        <v>466</v>
      </c>
      <c r="J36">
        <v>10001</v>
      </c>
      <c r="K36" s="1" t="s">
        <v>469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s="1" t="s">
        <v>40</v>
      </c>
      <c r="B37" s="1" t="s">
        <v>41</v>
      </c>
      <c r="C37" s="1" t="s">
        <v>51</v>
      </c>
      <c r="D37" s="1" t="s">
        <v>455</v>
      </c>
      <c r="E37">
        <v>0</v>
      </c>
      <c r="F37" s="10" t="str">
        <f>IF(final_data[[#This Row],[Total_applicants]]=0,"unknown","-")</f>
        <v>unknown</v>
      </c>
      <c r="G37" s="5">
        <v>6737300</v>
      </c>
      <c r="H37" s="1" t="s">
        <v>43</v>
      </c>
      <c r="I37" s="1" t="s">
        <v>465</v>
      </c>
      <c r="J37">
        <v>10001</v>
      </c>
      <c r="K37" s="1" t="s">
        <v>469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s="1" t="s">
        <v>40</v>
      </c>
      <c r="B38" s="1" t="s">
        <v>41</v>
      </c>
      <c r="C38" s="1" t="s">
        <v>45</v>
      </c>
      <c r="D38" s="1" t="s">
        <v>454</v>
      </c>
      <c r="E38">
        <v>0</v>
      </c>
      <c r="F38" s="10" t="str">
        <f>IF(final_data[[#This Row],[Total_applicants]]=0,"unknown","-")</f>
        <v>unknown</v>
      </c>
      <c r="G38" s="5">
        <v>6737300</v>
      </c>
      <c r="H38" s="1" t="s">
        <v>43</v>
      </c>
      <c r="I38" s="1" t="s">
        <v>465</v>
      </c>
      <c r="J38">
        <v>10001</v>
      </c>
      <c r="K38" s="1" t="s">
        <v>469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s="1" t="s">
        <v>40</v>
      </c>
      <c r="B39" s="1" t="s">
        <v>41</v>
      </c>
      <c r="C39" s="1" t="s">
        <v>54</v>
      </c>
      <c r="D39" s="1" t="s">
        <v>451</v>
      </c>
      <c r="E39">
        <v>0</v>
      </c>
      <c r="F39" s="10" t="str">
        <f>IF(final_data[[#This Row],[Total_applicants]]=0,"unknown","-")</f>
        <v>unknown</v>
      </c>
      <c r="G39" s="5">
        <v>6737300</v>
      </c>
      <c r="H39" s="1" t="s">
        <v>43</v>
      </c>
      <c r="I39" s="1" t="s">
        <v>465</v>
      </c>
      <c r="J39">
        <v>10001</v>
      </c>
      <c r="K39" s="1" t="s">
        <v>469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 s="1" t="s">
        <v>40</v>
      </c>
      <c r="B40" s="1" t="s">
        <v>41</v>
      </c>
      <c r="C40" s="1" t="s">
        <v>42</v>
      </c>
      <c r="D40" s="1" t="s">
        <v>456</v>
      </c>
      <c r="E40">
        <v>52</v>
      </c>
      <c r="F40" s="10" t="str">
        <f>IF(final_data[[#This Row],[Total_applicants]]=0,"unknown","-")</f>
        <v>-</v>
      </c>
      <c r="G40" s="5">
        <v>6737300</v>
      </c>
      <c r="H40" s="1" t="s">
        <v>43</v>
      </c>
      <c r="I40" s="1" t="s">
        <v>465</v>
      </c>
      <c r="J40">
        <v>10001</v>
      </c>
      <c r="K40" s="1" t="s">
        <v>469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</row>
    <row r="41" spans="1:42" x14ac:dyDescent="0.25">
      <c r="A41" s="1" t="s">
        <v>40</v>
      </c>
      <c r="B41" s="1" t="s">
        <v>41</v>
      </c>
      <c r="C41" s="1" t="s">
        <v>44</v>
      </c>
      <c r="D41" s="1" t="s">
        <v>451</v>
      </c>
      <c r="E41">
        <v>57</v>
      </c>
      <c r="F41" s="10" t="str">
        <f>IF(final_data[[#This Row],[Total_applicants]]=0,"unknown","-")</f>
        <v>-</v>
      </c>
      <c r="G41" s="5">
        <v>6737300</v>
      </c>
      <c r="H41" s="1" t="s">
        <v>43</v>
      </c>
      <c r="I41" s="1" t="s">
        <v>466</v>
      </c>
      <c r="J41">
        <v>10001</v>
      </c>
      <c r="K41" s="1" t="s">
        <v>469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s="1" t="s">
        <v>40</v>
      </c>
      <c r="B42" s="1" t="s">
        <v>41</v>
      </c>
      <c r="C42" s="1" t="s">
        <v>57</v>
      </c>
      <c r="D42" s="1" t="s">
        <v>452</v>
      </c>
      <c r="E42">
        <v>0</v>
      </c>
      <c r="F42" s="10" t="str">
        <f>IF(final_data[[#This Row],[Total_applicants]]=0,"unknown","-")</f>
        <v>unknown</v>
      </c>
      <c r="G42" s="5">
        <v>6737300</v>
      </c>
      <c r="H42" s="1" t="s">
        <v>43</v>
      </c>
      <c r="I42" s="1" t="s">
        <v>465</v>
      </c>
      <c r="J42">
        <v>10001</v>
      </c>
      <c r="K42" s="1" t="s">
        <v>469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s="1" t="s">
        <v>40</v>
      </c>
      <c r="B43" s="1" t="s">
        <v>41</v>
      </c>
      <c r="C43" s="1" t="s">
        <v>58</v>
      </c>
      <c r="D43" s="1" t="s">
        <v>450</v>
      </c>
      <c r="E43">
        <v>141</v>
      </c>
      <c r="F43" s="10" t="str">
        <f>IF(final_data[[#This Row],[Total_applicants]]=0,"unknown","-")</f>
        <v>-</v>
      </c>
      <c r="G43" s="5">
        <v>6737300</v>
      </c>
      <c r="H43" s="1" t="s">
        <v>43</v>
      </c>
      <c r="I43" s="1" t="s">
        <v>466</v>
      </c>
      <c r="J43">
        <v>10001</v>
      </c>
      <c r="K43" s="1" t="s">
        <v>469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s="1" t="s">
        <v>40</v>
      </c>
      <c r="B44" s="1" t="s">
        <v>41</v>
      </c>
      <c r="C44" s="1" t="s">
        <v>59</v>
      </c>
      <c r="D44" s="1" t="s">
        <v>449</v>
      </c>
      <c r="E44">
        <v>95</v>
      </c>
      <c r="F44" s="10" t="str">
        <f>IF(final_data[[#This Row],[Total_applicants]]=0,"unknown","-")</f>
        <v>-</v>
      </c>
      <c r="G44" s="5">
        <v>6737300</v>
      </c>
      <c r="H44" s="1" t="s">
        <v>43</v>
      </c>
      <c r="I44" s="1" t="s">
        <v>465</v>
      </c>
      <c r="J44">
        <v>10001</v>
      </c>
      <c r="K44" s="1" t="s">
        <v>469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s="1" t="s">
        <v>40</v>
      </c>
      <c r="B45" s="1" t="s">
        <v>41</v>
      </c>
      <c r="C45" s="1" t="s">
        <v>55</v>
      </c>
      <c r="D45" s="1" t="s">
        <v>452</v>
      </c>
      <c r="E45">
        <v>153</v>
      </c>
      <c r="F45" s="10" t="str">
        <f>IF(final_data[[#This Row],[Total_applicants]]=0,"unknown","-")</f>
        <v>-</v>
      </c>
      <c r="G45" s="5">
        <v>6737300</v>
      </c>
      <c r="H45" s="1" t="s">
        <v>43</v>
      </c>
      <c r="I45" s="1" t="s">
        <v>466</v>
      </c>
      <c r="J45">
        <v>10001</v>
      </c>
      <c r="K45" s="1" t="s">
        <v>469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s="1" t="s">
        <v>40</v>
      </c>
      <c r="B46" s="1" t="s">
        <v>41</v>
      </c>
      <c r="C46" s="1" t="s">
        <v>50</v>
      </c>
      <c r="D46" s="1" t="s">
        <v>452</v>
      </c>
      <c r="E46">
        <v>25</v>
      </c>
      <c r="F46" s="10" t="str">
        <f>IF(final_data[[#This Row],[Total_applicants]]=0,"unknown","-")</f>
        <v>-</v>
      </c>
      <c r="G46" s="5">
        <v>6737300</v>
      </c>
      <c r="H46" s="1" t="s">
        <v>43</v>
      </c>
      <c r="I46" s="1" t="s">
        <v>466</v>
      </c>
      <c r="J46">
        <v>10001</v>
      </c>
      <c r="K46" s="1" t="s">
        <v>469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1</v>
      </c>
    </row>
    <row r="47" spans="1:42" x14ac:dyDescent="0.25">
      <c r="A47" s="1" t="s">
        <v>40</v>
      </c>
      <c r="B47" s="1" t="s">
        <v>41</v>
      </c>
      <c r="C47" s="1" t="s">
        <v>48</v>
      </c>
      <c r="D47" s="1" t="s">
        <v>450</v>
      </c>
      <c r="E47">
        <v>8</v>
      </c>
      <c r="F47" s="10" t="str">
        <f>IF(final_data[[#This Row],[Total_applicants]]=0,"unknown","-")</f>
        <v>-</v>
      </c>
      <c r="G47" s="5">
        <v>6737300</v>
      </c>
      <c r="H47" s="1" t="s">
        <v>43</v>
      </c>
      <c r="I47" s="1" t="s">
        <v>466</v>
      </c>
      <c r="J47">
        <v>10001</v>
      </c>
      <c r="K47" s="1" t="s">
        <v>469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s="1" t="s">
        <v>40</v>
      </c>
      <c r="B48" s="1" t="s">
        <v>41</v>
      </c>
      <c r="C48" s="1" t="s">
        <v>59</v>
      </c>
      <c r="D48" s="1" t="s">
        <v>449</v>
      </c>
      <c r="E48">
        <v>17</v>
      </c>
      <c r="F48" s="10" t="str">
        <f>IF(final_data[[#This Row],[Total_applicants]]=0,"unknown","-")</f>
        <v>-</v>
      </c>
      <c r="G48" s="5">
        <v>6737300</v>
      </c>
      <c r="H48" s="1" t="s">
        <v>43</v>
      </c>
      <c r="I48" s="1" t="s">
        <v>465</v>
      </c>
      <c r="J48">
        <v>10001</v>
      </c>
      <c r="K48" s="1" t="s">
        <v>469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s="1" t="s">
        <v>40</v>
      </c>
      <c r="B49" s="1" t="s">
        <v>41</v>
      </c>
      <c r="C49" s="1" t="s">
        <v>60</v>
      </c>
      <c r="D49" s="1" t="s">
        <v>449</v>
      </c>
      <c r="E49">
        <v>17</v>
      </c>
      <c r="F49" s="10" t="str">
        <f>IF(final_data[[#This Row],[Total_applicants]]=0,"unknown","-")</f>
        <v>-</v>
      </c>
      <c r="G49" s="5">
        <v>6737300</v>
      </c>
      <c r="H49" s="1" t="s">
        <v>43</v>
      </c>
      <c r="I49" s="1" t="s">
        <v>465</v>
      </c>
      <c r="J49">
        <v>10001</v>
      </c>
      <c r="K49" s="1" t="s">
        <v>469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s="1" t="s">
        <v>40</v>
      </c>
      <c r="B50" s="1" t="s">
        <v>41</v>
      </c>
      <c r="C50" s="1" t="s">
        <v>59</v>
      </c>
      <c r="D50" s="1" t="s">
        <v>449</v>
      </c>
      <c r="E50">
        <v>0</v>
      </c>
      <c r="F50" s="10" t="str">
        <f>IF(final_data[[#This Row],[Total_applicants]]=0,"unknown","-")</f>
        <v>unknown</v>
      </c>
      <c r="G50" s="5">
        <v>6737300</v>
      </c>
      <c r="H50" s="1" t="s">
        <v>43</v>
      </c>
      <c r="I50" s="1" t="s">
        <v>465</v>
      </c>
      <c r="J50">
        <v>10001</v>
      </c>
      <c r="K50" s="1" t="s">
        <v>469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s="1" t="s">
        <v>40</v>
      </c>
      <c r="B51" s="1" t="s">
        <v>41</v>
      </c>
      <c r="C51" s="1" t="s">
        <v>44</v>
      </c>
      <c r="D51" s="1" t="s">
        <v>454</v>
      </c>
      <c r="E51">
        <v>50</v>
      </c>
      <c r="F51" s="10" t="str">
        <f>IF(final_data[[#This Row],[Total_applicants]]=0,"unknown","-")</f>
        <v>-</v>
      </c>
      <c r="G51" s="5">
        <v>6737300</v>
      </c>
      <c r="H51" s="1" t="s">
        <v>43</v>
      </c>
      <c r="I51" s="1" t="s">
        <v>466</v>
      </c>
      <c r="J51">
        <v>10001</v>
      </c>
      <c r="K51" s="1" t="s">
        <v>469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s="1" t="s">
        <v>40</v>
      </c>
      <c r="B52" s="1" t="s">
        <v>41</v>
      </c>
      <c r="C52" s="1" t="s">
        <v>52</v>
      </c>
      <c r="D52" s="1" t="s">
        <v>452</v>
      </c>
      <c r="E52">
        <v>9</v>
      </c>
      <c r="F52" s="10" t="str">
        <f>IF(final_data[[#This Row],[Total_applicants]]=0,"unknown","-")</f>
        <v>-</v>
      </c>
      <c r="G52" s="5">
        <v>6737300</v>
      </c>
      <c r="H52" s="1" t="s">
        <v>43</v>
      </c>
      <c r="I52" s="1" t="s">
        <v>466</v>
      </c>
      <c r="J52">
        <v>10001</v>
      </c>
      <c r="K52" s="1" t="s">
        <v>469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s="1" t="s">
        <v>40</v>
      </c>
      <c r="B53" s="1" t="s">
        <v>41</v>
      </c>
      <c r="C53" s="1" t="s">
        <v>51</v>
      </c>
      <c r="D53" s="1" t="s">
        <v>449</v>
      </c>
      <c r="E53">
        <v>156</v>
      </c>
      <c r="F53" s="10" t="str">
        <f>IF(final_data[[#This Row],[Total_applicants]]=0,"unknown","-")</f>
        <v>-</v>
      </c>
      <c r="G53" s="5">
        <v>6737300</v>
      </c>
      <c r="H53" s="1" t="s">
        <v>43</v>
      </c>
      <c r="I53" s="1" t="s">
        <v>465</v>
      </c>
      <c r="J53">
        <v>10001</v>
      </c>
      <c r="K53" s="1" t="s">
        <v>469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</row>
    <row r="54" spans="1:42" x14ac:dyDescent="0.25">
      <c r="A54" s="1" t="s">
        <v>40</v>
      </c>
      <c r="B54" s="1" t="s">
        <v>41</v>
      </c>
      <c r="C54" s="1" t="s">
        <v>61</v>
      </c>
      <c r="D54" s="1" t="s">
        <v>452</v>
      </c>
      <c r="E54">
        <v>145</v>
      </c>
      <c r="F54" s="10" t="str">
        <f>IF(final_data[[#This Row],[Total_applicants]]=0,"unknown","-")</f>
        <v>-</v>
      </c>
      <c r="G54" s="5">
        <v>6737300</v>
      </c>
      <c r="H54" s="1" t="s">
        <v>43</v>
      </c>
      <c r="I54" s="1" t="s">
        <v>466</v>
      </c>
      <c r="J54">
        <v>10001</v>
      </c>
      <c r="K54" s="1" t="s">
        <v>469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s="1" t="s">
        <v>40</v>
      </c>
      <c r="B55" s="1" t="s">
        <v>41</v>
      </c>
      <c r="C55" s="1" t="s">
        <v>59</v>
      </c>
      <c r="D55" s="1" t="s">
        <v>449</v>
      </c>
      <c r="E55">
        <v>34</v>
      </c>
      <c r="F55" s="10" t="str">
        <f>IF(final_data[[#This Row],[Total_applicants]]=0,"unknown","-")</f>
        <v>-</v>
      </c>
      <c r="G55" s="5">
        <v>6737300</v>
      </c>
      <c r="H55" s="1" t="s">
        <v>43</v>
      </c>
      <c r="I55" s="1" t="s">
        <v>465</v>
      </c>
      <c r="J55">
        <v>10001</v>
      </c>
      <c r="K55" s="1" t="s">
        <v>469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s="1" t="s">
        <v>40</v>
      </c>
      <c r="B56" s="1" t="s">
        <v>41</v>
      </c>
      <c r="C56" s="1" t="s">
        <v>52</v>
      </c>
      <c r="D56" s="1" t="s">
        <v>452</v>
      </c>
      <c r="E56">
        <v>41</v>
      </c>
      <c r="F56" s="10" t="str">
        <f>IF(final_data[[#This Row],[Total_applicants]]=0,"unknown","-")</f>
        <v>-</v>
      </c>
      <c r="G56" s="5">
        <v>6737300</v>
      </c>
      <c r="H56" s="1" t="s">
        <v>43</v>
      </c>
      <c r="I56" s="1" t="s">
        <v>466</v>
      </c>
      <c r="J56">
        <v>10001</v>
      </c>
      <c r="K56" s="1" t="s">
        <v>469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s="1" t="s">
        <v>40</v>
      </c>
      <c r="B57" s="1" t="s">
        <v>41</v>
      </c>
      <c r="C57" s="1" t="s">
        <v>59</v>
      </c>
      <c r="D57" s="1" t="s">
        <v>455</v>
      </c>
      <c r="E57">
        <v>0</v>
      </c>
      <c r="F57" s="10" t="str">
        <f>IF(final_data[[#This Row],[Total_applicants]]=0,"unknown","-")</f>
        <v>unknown</v>
      </c>
      <c r="G57" s="5">
        <v>6737300</v>
      </c>
      <c r="H57" s="1" t="s">
        <v>43</v>
      </c>
      <c r="I57" s="1" t="s">
        <v>465</v>
      </c>
      <c r="J57">
        <v>10001</v>
      </c>
      <c r="K57" s="1" t="s">
        <v>469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s="1" t="s">
        <v>40</v>
      </c>
      <c r="B58" s="1" t="s">
        <v>41</v>
      </c>
      <c r="C58" s="1" t="s">
        <v>59</v>
      </c>
      <c r="D58" s="1" t="s">
        <v>451</v>
      </c>
      <c r="E58">
        <v>24</v>
      </c>
      <c r="F58" s="10" t="str">
        <f>IF(final_data[[#This Row],[Total_applicants]]=0,"unknown","-")</f>
        <v>-</v>
      </c>
      <c r="G58" s="5">
        <v>6737300</v>
      </c>
      <c r="H58" s="1" t="s">
        <v>43</v>
      </c>
      <c r="I58" s="1" t="s">
        <v>465</v>
      </c>
      <c r="J58">
        <v>10001</v>
      </c>
      <c r="K58" s="1" t="s">
        <v>469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s="1" t="s">
        <v>40</v>
      </c>
      <c r="B59" s="1" t="s">
        <v>41</v>
      </c>
      <c r="C59" s="1" t="s">
        <v>62</v>
      </c>
      <c r="D59" s="1" t="s">
        <v>451</v>
      </c>
      <c r="E59">
        <v>11</v>
      </c>
      <c r="F59" s="10" t="str">
        <f>IF(final_data[[#This Row],[Total_applicants]]=0,"unknown","-")</f>
        <v>-</v>
      </c>
      <c r="G59" s="5">
        <v>6737300</v>
      </c>
      <c r="H59" s="1" t="s">
        <v>43</v>
      </c>
      <c r="I59" s="1" t="s">
        <v>466</v>
      </c>
      <c r="J59">
        <v>10001</v>
      </c>
      <c r="K59" s="1" t="s">
        <v>469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s="1" t="s">
        <v>40</v>
      </c>
      <c r="B60" s="1" t="s">
        <v>41</v>
      </c>
      <c r="C60" s="1" t="s">
        <v>63</v>
      </c>
      <c r="D60" s="1" t="s">
        <v>449</v>
      </c>
      <c r="E60">
        <v>23</v>
      </c>
      <c r="F60" s="10" t="str">
        <f>IF(final_data[[#This Row],[Total_applicants]]=0,"unknown","-")</f>
        <v>-</v>
      </c>
      <c r="G60" s="5">
        <v>6737300</v>
      </c>
      <c r="H60" s="1" t="s">
        <v>43</v>
      </c>
      <c r="I60" s="1" t="s">
        <v>465</v>
      </c>
      <c r="J60">
        <v>10001</v>
      </c>
      <c r="K60" s="1" t="s">
        <v>469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s="1" t="s">
        <v>40</v>
      </c>
      <c r="B61" s="1" t="s">
        <v>41</v>
      </c>
      <c r="C61" s="1" t="s">
        <v>48</v>
      </c>
      <c r="D61" s="1" t="s">
        <v>454</v>
      </c>
      <c r="E61">
        <v>7</v>
      </c>
      <c r="F61" s="10" t="str">
        <f>IF(final_data[[#This Row],[Total_applicants]]=0,"unknown","-")</f>
        <v>-</v>
      </c>
      <c r="G61" s="5">
        <v>6737300</v>
      </c>
      <c r="H61" s="1" t="s">
        <v>43</v>
      </c>
      <c r="I61" s="1" t="s">
        <v>466</v>
      </c>
      <c r="J61">
        <v>10001</v>
      </c>
      <c r="K61" s="1" t="s">
        <v>469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 s="1" t="s">
        <v>40</v>
      </c>
      <c r="B62" s="1" t="s">
        <v>41</v>
      </c>
      <c r="C62" s="1" t="s">
        <v>61</v>
      </c>
      <c r="D62" s="1" t="s">
        <v>452</v>
      </c>
      <c r="E62">
        <v>127</v>
      </c>
      <c r="F62" s="10" t="str">
        <f>IF(final_data[[#This Row],[Total_applicants]]=0,"unknown","-")</f>
        <v>-</v>
      </c>
      <c r="G62" s="5">
        <v>6737300</v>
      </c>
      <c r="H62" s="1" t="s">
        <v>43</v>
      </c>
      <c r="I62" s="1" t="s">
        <v>466</v>
      </c>
      <c r="J62">
        <v>10001</v>
      </c>
      <c r="K62" s="1" t="s">
        <v>469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 s="1" t="s">
        <v>40</v>
      </c>
      <c r="B63" s="1" t="s">
        <v>41</v>
      </c>
      <c r="C63" s="1" t="s">
        <v>48</v>
      </c>
      <c r="D63" s="1" t="s">
        <v>454</v>
      </c>
      <c r="E63">
        <v>21</v>
      </c>
      <c r="F63" s="10" t="str">
        <f>IF(final_data[[#This Row],[Total_applicants]]=0,"unknown","-")</f>
        <v>-</v>
      </c>
      <c r="G63" s="5">
        <v>6737300</v>
      </c>
      <c r="H63" s="1" t="s">
        <v>43</v>
      </c>
      <c r="I63" s="1" t="s">
        <v>466</v>
      </c>
      <c r="J63">
        <v>10001</v>
      </c>
      <c r="K63" s="1" t="s">
        <v>469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 s="1" t="s">
        <v>40</v>
      </c>
      <c r="B64" s="1" t="s">
        <v>41</v>
      </c>
      <c r="C64" s="1" t="s">
        <v>52</v>
      </c>
      <c r="D64" s="1" t="s">
        <v>452</v>
      </c>
      <c r="E64">
        <v>152</v>
      </c>
      <c r="F64" s="10" t="str">
        <f>IF(final_data[[#This Row],[Total_applicants]]=0,"unknown","-")</f>
        <v>-</v>
      </c>
      <c r="G64" s="5">
        <v>6737300</v>
      </c>
      <c r="H64" s="1" t="s">
        <v>43</v>
      </c>
      <c r="I64" s="1" t="s">
        <v>466</v>
      </c>
      <c r="J64">
        <v>10001</v>
      </c>
      <c r="K64" s="1" t="s">
        <v>469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 s="1" t="s">
        <v>40</v>
      </c>
      <c r="B65" s="1" t="s">
        <v>41</v>
      </c>
      <c r="C65" s="1" t="s">
        <v>51</v>
      </c>
      <c r="D65" s="1" t="s">
        <v>457</v>
      </c>
      <c r="E65">
        <v>0</v>
      </c>
      <c r="F65" s="10" t="str">
        <f>IF(final_data[[#This Row],[Total_applicants]]=0,"unknown","-")</f>
        <v>unknown</v>
      </c>
      <c r="G65" s="5">
        <v>6737300</v>
      </c>
      <c r="H65" s="1" t="s">
        <v>43</v>
      </c>
      <c r="I65" s="1" t="s">
        <v>465</v>
      </c>
      <c r="J65">
        <v>10001</v>
      </c>
      <c r="K65" s="1" t="s">
        <v>469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 s="1" t="s">
        <v>40</v>
      </c>
      <c r="B66" s="1" t="s">
        <v>41</v>
      </c>
      <c r="C66" s="1" t="s">
        <v>59</v>
      </c>
      <c r="D66" s="1" t="s">
        <v>457</v>
      </c>
      <c r="E66">
        <v>112</v>
      </c>
      <c r="F66" s="10" t="str">
        <f>IF(final_data[[#This Row],[Total_applicants]]=0,"unknown","-")</f>
        <v>-</v>
      </c>
      <c r="G66" s="5">
        <v>6737300</v>
      </c>
      <c r="H66" s="1" t="s">
        <v>43</v>
      </c>
      <c r="I66" s="1" t="s">
        <v>465</v>
      </c>
      <c r="J66">
        <v>10001</v>
      </c>
      <c r="K66" s="1" t="s">
        <v>469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 s="1" t="s">
        <v>40</v>
      </c>
      <c r="B67" s="1" t="s">
        <v>41</v>
      </c>
      <c r="C67" s="1" t="s">
        <v>51</v>
      </c>
      <c r="D67" s="1" t="s">
        <v>454</v>
      </c>
      <c r="E67">
        <v>0</v>
      </c>
      <c r="F67" s="10" t="str">
        <f>IF(final_data[[#This Row],[Total_applicants]]=0,"unknown","-")</f>
        <v>unknown</v>
      </c>
      <c r="G67" s="5">
        <v>6737300</v>
      </c>
      <c r="H67" s="1" t="s">
        <v>43</v>
      </c>
      <c r="I67" s="1" t="s">
        <v>465</v>
      </c>
      <c r="J67">
        <v>10001</v>
      </c>
      <c r="K67" s="1" t="s">
        <v>469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 s="1" t="s">
        <v>40</v>
      </c>
      <c r="B68" s="1" t="s">
        <v>41</v>
      </c>
      <c r="C68" s="1" t="s">
        <v>64</v>
      </c>
      <c r="D68" s="1" t="s">
        <v>454</v>
      </c>
      <c r="E68">
        <v>0</v>
      </c>
      <c r="F68" s="10" t="str">
        <f>IF(final_data[[#This Row],[Total_applicants]]=0,"unknown","-")</f>
        <v>unknown</v>
      </c>
      <c r="G68" s="5">
        <v>6737300</v>
      </c>
      <c r="H68" s="1" t="s">
        <v>43</v>
      </c>
      <c r="I68" s="1" t="s">
        <v>466</v>
      </c>
      <c r="J68">
        <v>10001</v>
      </c>
      <c r="K68" s="1" t="s">
        <v>469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 s="1" t="s">
        <v>40</v>
      </c>
      <c r="B69" s="1" t="s">
        <v>41</v>
      </c>
      <c r="C69" s="1" t="s">
        <v>63</v>
      </c>
      <c r="D69" s="1" t="s">
        <v>450</v>
      </c>
      <c r="E69">
        <v>92</v>
      </c>
      <c r="F69" s="10" t="str">
        <f>IF(final_data[[#This Row],[Total_applicants]]=0,"unknown","-")</f>
        <v>-</v>
      </c>
      <c r="G69" s="5">
        <v>6737300</v>
      </c>
      <c r="H69" s="1" t="s">
        <v>43</v>
      </c>
      <c r="I69" s="1" t="s">
        <v>465</v>
      </c>
      <c r="J69">
        <v>10001</v>
      </c>
      <c r="K69" s="1" t="s">
        <v>469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 s="1" t="s">
        <v>40</v>
      </c>
      <c r="B70" s="1" t="s">
        <v>41</v>
      </c>
      <c r="C70" s="1" t="s">
        <v>65</v>
      </c>
      <c r="D70" s="1" t="s">
        <v>451</v>
      </c>
      <c r="E70">
        <v>6</v>
      </c>
      <c r="F70" s="10" t="str">
        <f>IF(final_data[[#This Row],[Total_applicants]]=0,"unknown","-")</f>
        <v>-</v>
      </c>
      <c r="G70" s="5">
        <v>6737300</v>
      </c>
      <c r="H70" s="1" t="s">
        <v>43</v>
      </c>
      <c r="I70" s="1" t="s">
        <v>466</v>
      </c>
      <c r="J70">
        <v>10001</v>
      </c>
      <c r="K70" s="1" t="s">
        <v>469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1</v>
      </c>
    </row>
    <row r="71" spans="1:42" x14ac:dyDescent="0.25">
      <c r="A71" s="1" t="s">
        <v>40</v>
      </c>
      <c r="B71" s="1" t="s">
        <v>41</v>
      </c>
      <c r="C71" s="1" t="s">
        <v>66</v>
      </c>
      <c r="D71" s="1" t="s">
        <v>449</v>
      </c>
      <c r="E71">
        <v>2</v>
      </c>
      <c r="F71" s="10" t="str">
        <f>IF(final_data[[#This Row],[Total_applicants]]=0,"unknown","-")</f>
        <v>-</v>
      </c>
      <c r="G71" s="5">
        <v>6737300</v>
      </c>
      <c r="H71" s="1" t="s">
        <v>43</v>
      </c>
      <c r="I71" s="1" t="s">
        <v>466</v>
      </c>
      <c r="J71">
        <v>10001</v>
      </c>
      <c r="K71" s="1" t="s">
        <v>469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</row>
    <row r="72" spans="1:42" x14ac:dyDescent="0.25">
      <c r="A72" s="1" t="s">
        <v>40</v>
      </c>
      <c r="B72" s="1" t="s">
        <v>41</v>
      </c>
      <c r="C72" s="1" t="s">
        <v>51</v>
      </c>
      <c r="D72" s="1" t="s">
        <v>454</v>
      </c>
      <c r="E72">
        <v>0</v>
      </c>
      <c r="F72" s="10" t="str">
        <f>IF(final_data[[#This Row],[Total_applicants]]=0,"unknown","-")</f>
        <v>unknown</v>
      </c>
      <c r="G72" s="5">
        <v>6737300</v>
      </c>
      <c r="H72" s="1" t="s">
        <v>43</v>
      </c>
      <c r="I72" s="1" t="s">
        <v>465</v>
      </c>
      <c r="J72">
        <v>10001</v>
      </c>
      <c r="K72" s="1" t="s">
        <v>469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 s="1" t="s">
        <v>40</v>
      </c>
      <c r="B73" s="1" t="s">
        <v>41</v>
      </c>
      <c r="C73" s="1" t="s">
        <v>67</v>
      </c>
      <c r="D73" s="1" t="s">
        <v>451</v>
      </c>
      <c r="E73">
        <v>12</v>
      </c>
      <c r="F73" s="10" t="str">
        <f>IF(final_data[[#This Row],[Total_applicants]]=0,"unknown","-")</f>
        <v>-</v>
      </c>
      <c r="G73" s="5">
        <v>6737300</v>
      </c>
      <c r="H73" s="1" t="s">
        <v>43</v>
      </c>
      <c r="I73" s="1" t="s">
        <v>466</v>
      </c>
      <c r="J73">
        <v>10001</v>
      </c>
      <c r="K73" s="1" t="s">
        <v>469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 s="1" t="s">
        <v>40</v>
      </c>
      <c r="B74" s="1" t="s">
        <v>41</v>
      </c>
      <c r="C74" s="1" t="s">
        <v>68</v>
      </c>
      <c r="D74" s="1" t="s">
        <v>452</v>
      </c>
      <c r="E74">
        <v>64</v>
      </c>
      <c r="F74" s="10" t="str">
        <f>IF(final_data[[#This Row],[Total_applicants]]=0,"unknown","-")</f>
        <v>-</v>
      </c>
      <c r="G74" s="5">
        <v>6737300</v>
      </c>
      <c r="H74" s="1" t="s">
        <v>43</v>
      </c>
      <c r="I74" s="1" t="s">
        <v>465</v>
      </c>
      <c r="J74">
        <v>10001</v>
      </c>
      <c r="K74" s="1" t="s">
        <v>469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 s="1" t="s">
        <v>40</v>
      </c>
      <c r="B75" s="1" t="s">
        <v>41</v>
      </c>
      <c r="C75" s="1" t="s">
        <v>51</v>
      </c>
      <c r="D75" s="1" t="s">
        <v>449</v>
      </c>
      <c r="E75">
        <v>0</v>
      </c>
      <c r="F75" s="10" t="str">
        <f>IF(final_data[[#This Row],[Total_applicants]]=0,"unknown","-")</f>
        <v>unknown</v>
      </c>
      <c r="G75" s="5">
        <v>6737300</v>
      </c>
      <c r="H75" s="1" t="s">
        <v>43</v>
      </c>
      <c r="I75" s="1" t="s">
        <v>465</v>
      </c>
      <c r="J75">
        <v>10001</v>
      </c>
      <c r="K75" s="1" t="s">
        <v>469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 s="1" t="s">
        <v>40</v>
      </c>
      <c r="B76" s="1" t="s">
        <v>41</v>
      </c>
      <c r="C76" s="1" t="s">
        <v>47</v>
      </c>
      <c r="D76" s="1" t="s">
        <v>449</v>
      </c>
      <c r="E76">
        <v>126</v>
      </c>
      <c r="F76" s="10" t="str">
        <f>IF(final_data[[#This Row],[Total_applicants]]=0,"unknown","-")</f>
        <v>-</v>
      </c>
      <c r="G76" s="5">
        <v>6737300</v>
      </c>
      <c r="H76" s="1" t="s">
        <v>43</v>
      </c>
      <c r="I76" s="1" t="s">
        <v>465</v>
      </c>
      <c r="J76">
        <v>10001</v>
      </c>
      <c r="K76" s="1" t="s">
        <v>469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 s="1" t="s">
        <v>40</v>
      </c>
      <c r="B77" s="1" t="s">
        <v>41</v>
      </c>
      <c r="C77" s="1" t="s">
        <v>48</v>
      </c>
      <c r="D77" s="1" t="s">
        <v>457</v>
      </c>
      <c r="E77">
        <v>22</v>
      </c>
      <c r="F77" s="10" t="str">
        <f>IF(final_data[[#This Row],[Total_applicants]]=0,"unknown","-")</f>
        <v>-</v>
      </c>
      <c r="G77" s="5">
        <v>6737300</v>
      </c>
      <c r="H77" s="1" t="s">
        <v>43</v>
      </c>
      <c r="I77" s="1" t="s">
        <v>466</v>
      </c>
      <c r="J77">
        <v>10001</v>
      </c>
      <c r="K77" s="1" t="s">
        <v>469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 s="1" t="s">
        <v>40</v>
      </c>
      <c r="B78" s="1" t="s">
        <v>41</v>
      </c>
      <c r="C78" s="1" t="s">
        <v>69</v>
      </c>
      <c r="D78" s="1" t="s">
        <v>452</v>
      </c>
      <c r="E78">
        <v>16</v>
      </c>
      <c r="F78" s="10" t="str">
        <f>IF(final_data[[#This Row],[Total_applicants]]=0,"unknown","-")</f>
        <v>-</v>
      </c>
      <c r="G78" s="5">
        <v>6737300</v>
      </c>
      <c r="H78" s="1" t="s">
        <v>43</v>
      </c>
      <c r="I78" s="1" t="s">
        <v>466</v>
      </c>
      <c r="J78">
        <v>10001</v>
      </c>
      <c r="K78" s="1" t="s">
        <v>469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 s="1" t="s">
        <v>40</v>
      </c>
      <c r="B79" s="1" t="s">
        <v>41</v>
      </c>
      <c r="C79" s="1" t="s">
        <v>70</v>
      </c>
      <c r="D79" s="1" t="s">
        <v>450</v>
      </c>
      <c r="E79">
        <v>13</v>
      </c>
      <c r="F79" s="10" t="str">
        <f>IF(final_data[[#This Row],[Total_applicants]]=0,"unknown","-")</f>
        <v>-</v>
      </c>
      <c r="G79" s="5">
        <v>6737300</v>
      </c>
      <c r="H79" s="1" t="s">
        <v>43</v>
      </c>
      <c r="I79" s="1" t="s">
        <v>466</v>
      </c>
      <c r="J79">
        <v>10001</v>
      </c>
      <c r="K79" s="1" t="s">
        <v>469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 s="1" t="s">
        <v>40</v>
      </c>
      <c r="B80" s="1" t="s">
        <v>41</v>
      </c>
      <c r="C80" s="1" t="s">
        <v>69</v>
      </c>
      <c r="D80" s="1" t="s">
        <v>452</v>
      </c>
      <c r="E80">
        <v>10</v>
      </c>
      <c r="F80" s="10" t="str">
        <f>IF(final_data[[#This Row],[Total_applicants]]=0,"unknown","-")</f>
        <v>-</v>
      </c>
      <c r="G80" s="5">
        <v>6737300</v>
      </c>
      <c r="H80" s="1" t="s">
        <v>43</v>
      </c>
      <c r="I80" s="1" t="s">
        <v>466</v>
      </c>
      <c r="J80">
        <v>10001</v>
      </c>
      <c r="K80" s="1" t="s">
        <v>469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 s="1" t="s">
        <v>40</v>
      </c>
      <c r="B81" s="1" t="s">
        <v>41</v>
      </c>
      <c r="C81" s="1" t="s">
        <v>59</v>
      </c>
      <c r="D81" s="1" t="s">
        <v>457</v>
      </c>
      <c r="E81">
        <v>25</v>
      </c>
      <c r="F81" s="10" t="str">
        <f>IF(final_data[[#This Row],[Total_applicants]]=0,"unknown","-")</f>
        <v>-</v>
      </c>
      <c r="G81" s="5">
        <v>6737300</v>
      </c>
      <c r="H81" s="1" t="s">
        <v>43</v>
      </c>
      <c r="I81" s="1" t="s">
        <v>465</v>
      </c>
      <c r="J81">
        <v>10001</v>
      </c>
      <c r="K81" s="1" t="s">
        <v>469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 s="1" t="s">
        <v>40</v>
      </c>
      <c r="B82" s="1" t="s">
        <v>41</v>
      </c>
      <c r="C82" s="1" t="s">
        <v>62</v>
      </c>
      <c r="D82" s="1" t="s">
        <v>452</v>
      </c>
      <c r="E82">
        <v>29</v>
      </c>
      <c r="F82" s="10" t="str">
        <f>IF(final_data[[#This Row],[Total_applicants]]=0,"unknown","-")</f>
        <v>-</v>
      </c>
      <c r="G82" s="5">
        <v>6737300</v>
      </c>
      <c r="H82" s="1" t="s">
        <v>43</v>
      </c>
      <c r="I82" s="1" t="s">
        <v>466</v>
      </c>
      <c r="J82">
        <v>10001</v>
      </c>
      <c r="K82" s="1" t="s">
        <v>469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 s="1" t="s">
        <v>40</v>
      </c>
      <c r="B83" s="1" t="s">
        <v>41</v>
      </c>
      <c r="C83" s="1" t="s">
        <v>69</v>
      </c>
      <c r="D83" s="1" t="s">
        <v>452</v>
      </c>
      <c r="E83">
        <v>7</v>
      </c>
      <c r="F83" s="10" t="str">
        <f>IF(final_data[[#This Row],[Total_applicants]]=0,"unknown","-")</f>
        <v>-</v>
      </c>
      <c r="G83" s="5">
        <v>6737300</v>
      </c>
      <c r="H83" s="1" t="s">
        <v>43</v>
      </c>
      <c r="I83" s="1" t="s">
        <v>466</v>
      </c>
      <c r="J83">
        <v>10001</v>
      </c>
      <c r="K83" s="1" t="s">
        <v>469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 s="1" t="s">
        <v>40</v>
      </c>
      <c r="B84" s="1" t="s">
        <v>41</v>
      </c>
      <c r="C84" s="1" t="s">
        <v>48</v>
      </c>
      <c r="D84" s="1" t="s">
        <v>454</v>
      </c>
      <c r="E84">
        <v>22</v>
      </c>
      <c r="F84" s="10" t="str">
        <f>IF(final_data[[#This Row],[Total_applicants]]=0,"unknown","-")</f>
        <v>-</v>
      </c>
      <c r="G84" s="5">
        <v>6737300</v>
      </c>
      <c r="H84" s="1" t="s">
        <v>43</v>
      </c>
      <c r="I84" s="1" t="s">
        <v>466</v>
      </c>
      <c r="J84">
        <v>10001</v>
      </c>
      <c r="K84" s="1" t="s">
        <v>469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 s="1" t="s">
        <v>40</v>
      </c>
      <c r="B85" s="1" t="s">
        <v>41</v>
      </c>
      <c r="C85" s="1" t="s">
        <v>71</v>
      </c>
      <c r="D85" s="1" t="s">
        <v>454</v>
      </c>
      <c r="E85">
        <v>21</v>
      </c>
      <c r="F85" s="10" t="str">
        <f>IF(final_data[[#This Row],[Total_applicants]]=0,"unknown","-")</f>
        <v>-</v>
      </c>
      <c r="G85" s="5">
        <v>6737300</v>
      </c>
      <c r="H85" s="1" t="s">
        <v>43</v>
      </c>
      <c r="I85" s="1" t="s">
        <v>466</v>
      </c>
      <c r="J85">
        <v>10001</v>
      </c>
      <c r="K85" s="1" t="s">
        <v>469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 s="1" t="s">
        <v>40</v>
      </c>
      <c r="B86" s="1" t="s">
        <v>41</v>
      </c>
      <c r="C86" s="1" t="s">
        <v>47</v>
      </c>
      <c r="D86" s="1" t="s">
        <v>455</v>
      </c>
      <c r="E86">
        <v>0</v>
      </c>
      <c r="F86" s="10" t="str">
        <f>IF(final_data[[#This Row],[Total_applicants]]=0,"unknown","-")</f>
        <v>unknown</v>
      </c>
      <c r="G86" s="5">
        <v>6737300</v>
      </c>
      <c r="H86" s="1" t="s">
        <v>43</v>
      </c>
      <c r="I86" s="1" t="s">
        <v>465</v>
      </c>
      <c r="J86">
        <v>10001</v>
      </c>
      <c r="K86" s="1" t="s">
        <v>469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 s="1" t="s">
        <v>40</v>
      </c>
      <c r="B87" s="1" t="s">
        <v>41</v>
      </c>
      <c r="C87" s="1" t="s">
        <v>72</v>
      </c>
      <c r="D87" s="1" t="s">
        <v>452</v>
      </c>
      <c r="E87">
        <v>50</v>
      </c>
      <c r="F87" s="10" t="str">
        <f>IF(final_data[[#This Row],[Total_applicants]]=0,"unknown","-")</f>
        <v>-</v>
      </c>
      <c r="G87" s="5">
        <v>6737300</v>
      </c>
      <c r="H87" s="1" t="s">
        <v>43</v>
      </c>
      <c r="I87" s="1" t="s">
        <v>465</v>
      </c>
      <c r="J87">
        <v>10001</v>
      </c>
      <c r="K87" s="1" t="s">
        <v>469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 s="1" t="s">
        <v>40</v>
      </c>
      <c r="B88" s="1" t="s">
        <v>41</v>
      </c>
      <c r="C88" s="1" t="s">
        <v>50</v>
      </c>
      <c r="D88" s="1" t="s">
        <v>454</v>
      </c>
      <c r="E88">
        <v>142</v>
      </c>
      <c r="F88" s="10" t="str">
        <f>IF(final_data[[#This Row],[Total_applicants]]=0,"unknown","-")</f>
        <v>-</v>
      </c>
      <c r="G88" s="5">
        <v>6737300</v>
      </c>
      <c r="H88" s="1" t="s">
        <v>43</v>
      </c>
      <c r="I88" s="1" t="s">
        <v>466</v>
      </c>
      <c r="J88">
        <v>10001</v>
      </c>
      <c r="K88" s="1" t="s">
        <v>469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1</v>
      </c>
    </row>
    <row r="89" spans="1:42" x14ac:dyDescent="0.25">
      <c r="A89" s="1" t="s">
        <v>40</v>
      </c>
      <c r="B89" s="1" t="s">
        <v>41</v>
      </c>
      <c r="C89" s="1" t="s">
        <v>51</v>
      </c>
      <c r="D89" s="1" t="s">
        <v>457</v>
      </c>
      <c r="E89">
        <v>85</v>
      </c>
      <c r="F89" s="10" t="str">
        <f>IF(final_data[[#This Row],[Total_applicants]]=0,"unknown","-")</f>
        <v>-</v>
      </c>
      <c r="G89" s="5">
        <v>6737300</v>
      </c>
      <c r="H89" s="1" t="s">
        <v>43</v>
      </c>
      <c r="I89" s="1" t="s">
        <v>465</v>
      </c>
      <c r="J89">
        <v>10001</v>
      </c>
      <c r="K89" s="1" t="s">
        <v>469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 s="1" t="s">
        <v>40</v>
      </c>
      <c r="B90" s="1" t="s">
        <v>41</v>
      </c>
      <c r="C90" s="1" t="s">
        <v>59</v>
      </c>
      <c r="D90" s="1" t="s">
        <v>454</v>
      </c>
      <c r="E90">
        <v>0</v>
      </c>
      <c r="F90" s="10" t="str">
        <f>IF(final_data[[#This Row],[Total_applicants]]=0,"unknown","-")</f>
        <v>unknown</v>
      </c>
      <c r="G90" s="5">
        <v>6737300</v>
      </c>
      <c r="H90" s="1" t="s">
        <v>43</v>
      </c>
      <c r="I90" s="1" t="s">
        <v>465</v>
      </c>
      <c r="J90">
        <v>10001</v>
      </c>
      <c r="K90" s="1" t="s">
        <v>469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 s="1" t="s">
        <v>40</v>
      </c>
      <c r="B91" s="1" t="s">
        <v>41</v>
      </c>
      <c r="C91" s="1" t="s">
        <v>73</v>
      </c>
      <c r="D91" s="1" t="s">
        <v>454</v>
      </c>
      <c r="E91">
        <v>0</v>
      </c>
      <c r="F91" s="10" t="str">
        <f>IF(final_data[[#This Row],[Total_applicants]]=0,"unknown","-")</f>
        <v>unknown</v>
      </c>
      <c r="G91" s="5">
        <v>6737300</v>
      </c>
      <c r="H91" s="1" t="s">
        <v>43</v>
      </c>
      <c r="I91" s="1" t="s">
        <v>465</v>
      </c>
      <c r="J91">
        <v>10001</v>
      </c>
      <c r="K91" s="1" t="s">
        <v>469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</row>
    <row r="92" spans="1:42" x14ac:dyDescent="0.25">
      <c r="A92" s="1" t="s">
        <v>40</v>
      </c>
      <c r="B92" s="1" t="s">
        <v>41</v>
      </c>
      <c r="C92" s="1" t="s">
        <v>74</v>
      </c>
      <c r="D92" s="1" t="s">
        <v>452</v>
      </c>
      <c r="E92">
        <v>73</v>
      </c>
      <c r="F92" s="10" t="str">
        <f>IF(final_data[[#This Row],[Total_applicants]]=0,"unknown","-")</f>
        <v>-</v>
      </c>
      <c r="G92" s="5">
        <v>6737300</v>
      </c>
      <c r="H92" s="1" t="s">
        <v>43</v>
      </c>
      <c r="I92" s="1" t="s">
        <v>466</v>
      </c>
      <c r="J92">
        <v>10001</v>
      </c>
      <c r="K92" s="1" t="s">
        <v>469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 s="1" t="s">
        <v>40</v>
      </c>
      <c r="B93" s="1" t="s">
        <v>41</v>
      </c>
      <c r="C93" s="1" t="s">
        <v>75</v>
      </c>
      <c r="D93" s="1" t="s">
        <v>452</v>
      </c>
      <c r="E93">
        <v>79</v>
      </c>
      <c r="F93" s="10" t="str">
        <f>IF(final_data[[#This Row],[Total_applicants]]=0,"unknown","-")</f>
        <v>-</v>
      </c>
      <c r="G93" s="5">
        <v>6737300</v>
      </c>
      <c r="H93" s="1" t="s">
        <v>43</v>
      </c>
      <c r="I93" s="1" t="s">
        <v>465</v>
      </c>
      <c r="J93">
        <v>10001</v>
      </c>
      <c r="K93" s="1" t="s">
        <v>469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 s="1" t="s">
        <v>40</v>
      </c>
      <c r="B94" s="1" t="s">
        <v>41</v>
      </c>
      <c r="C94" s="1" t="s">
        <v>76</v>
      </c>
      <c r="D94" s="1" t="s">
        <v>449</v>
      </c>
      <c r="E94">
        <v>12</v>
      </c>
      <c r="F94" s="10" t="str">
        <f>IF(final_data[[#This Row],[Total_applicants]]=0,"unknown","-")</f>
        <v>-</v>
      </c>
      <c r="G94" s="5">
        <v>6737300</v>
      </c>
      <c r="H94" s="1" t="s">
        <v>43</v>
      </c>
      <c r="I94" s="1" t="s">
        <v>466</v>
      </c>
      <c r="J94">
        <v>10001</v>
      </c>
      <c r="K94" s="1" t="s">
        <v>469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 s="1" t="s">
        <v>40</v>
      </c>
      <c r="B95" s="1" t="s">
        <v>41</v>
      </c>
      <c r="C95" s="1" t="s">
        <v>77</v>
      </c>
      <c r="D95" s="1" t="s">
        <v>452</v>
      </c>
      <c r="E95">
        <v>12</v>
      </c>
      <c r="F95" s="10" t="str">
        <f>IF(final_data[[#This Row],[Total_applicants]]=0,"unknown","-")</f>
        <v>-</v>
      </c>
      <c r="G95" s="5">
        <v>6737300</v>
      </c>
      <c r="H95" s="1" t="s">
        <v>43</v>
      </c>
      <c r="I95" s="1" t="s">
        <v>466</v>
      </c>
      <c r="J95">
        <v>10001</v>
      </c>
      <c r="K95" s="1" t="s">
        <v>469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 s="1" t="s">
        <v>40</v>
      </c>
      <c r="B96" s="1" t="s">
        <v>41</v>
      </c>
      <c r="C96" s="1" t="s">
        <v>78</v>
      </c>
      <c r="D96" s="1" t="s">
        <v>449</v>
      </c>
      <c r="E96">
        <v>1</v>
      </c>
      <c r="F96" s="10" t="str">
        <f>IF(final_data[[#This Row],[Total_applicants]]=0,"unknown","-")</f>
        <v>-</v>
      </c>
      <c r="G96" s="5">
        <v>6737300</v>
      </c>
      <c r="H96" s="1" t="s">
        <v>43</v>
      </c>
      <c r="I96" s="1" t="s">
        <v>466</v>
      </c>
      <c r="J96">
        <v>10001</v>
      </c>
      <c r="K96" s="1" t="s">
        <v>469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1</v>
      </c>
    </row>
    <row r="97" spans="1:42" x14ac:dyDescent="0.25">
      <c r="A97" s="1" t="s">
        <v>40</v>
      </c>
      <c r="B97" s="1" t="s">
        <v>41</v>
      </c>
      <c r="C97" s="1" t="s">
        <v>79</v>
      </c>
      <c r="D97" s="1" t="s">
        <v>449</v>
      </c>
      <c r="E97">
        <v>8</v>
      </c>
      <c r="F97" s="10" t="str">
        <f>IF(final_data[[#This Row],[Total_applicants]]=0,"unknown","-")</f>
        <v>-</v>
      </c>
      <c r="G97" s="5">
        <v>6737300</v>
      </c>
      <c r="H97" s="1" t="s">
        <v>43</v>
      </c>
      <c r="I97" s="1" t="s">
        <v>466</v>
      </c>
      <c r="J97">
        <v>10001</v>
      </c>
      <c r="K97" s="1" t="s">
        <v>469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 s="1" t="s">
        <v>40</v>
      </c>
      <c r="B98" s="1" t="s">
        <v>41</v>
      </c>
      <c r="C98" s="1" t="s">
        <v>80</v>
      </c>
      <c r="D98" s="1" t="s">
        <v>451</v>
      </c>
      <c r="E98">
        <v>112</v>
      </c>
      <c r="F98" s="10" t="str">
        <f>IF(final_data[[#This Row],[Total_applicants]]=0,"unknown","-")</f>
        <v>-</v>
      </c>
      <c r="G98" s="5">
        <v>6737300</v>
      </c>
      <c r="H98" s="1" t="s">
        <v>43</v>
      </c>
      <c r="I98" s="1" t="s">
        <v>466</v>
      </c>
      <c r="J98">
        <v>10001</v>
      </c>
      <c r="K98" s="1" t="s">
        <v>469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 s="1" t="s">
        <v>40</v>
      </c>
      <c r="B99" s="1" t="s">
        <v>41</v>
      </c>
      <c r="C99" s="1" t="s">
        <v>45</v>
      </c>
      <c r="D99" s="1" t="s">
        <v>454</v>
      </c>
      <c r="E99">
        <v>0</v>
      </c>
      <c r="F99" s="10" t="str">
        <f>IF(final_data[[#This Row],[Total_applicants]]=0,"unknown","-")</f>
        <v>unknown</v>
      </c>
      <c r="G99" s="5">
        <v>6737300</v>
      </c>
      <c r="H99" s="1" t="s">
        <v>43</v>
      </c>
      <c r="I99" s="1" t="s">
        <v>465</v>
      </c>
      <c r="J99">
        <v>10001</v>
      </c>
      <c r="K99" s="1" t="s">
        <v>469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 s="1" t="s">
        <v>40</v>
      </c>
      <c r="B100" s="1" t="s">
        <v>41</v>
      </c>
      <c r="C100" s="1" t="s">
        <v>81</v>
      </c>
      <c r="D100" s="1" t="s">
        <v>452</v>
      </c>
      <c r="E100">
        <v>2</v>
      </c>
      <c r="F100" s="10" t="str">
        <f>IF(final_data[[#This Row],[Total_applicants]]=0,"unknown","-")</f>
        <v>-</v>
      </c>
      <c r="G100" s="5">
        <v>6737300</v>
      </c>
      <c r="H100" s="1" t="s">
        <v>43</v>
      </c>
      <c r="I100" s="1" t="s">
        <v>466</v>
      </c>
      <c r="J100">
        <v>10001</v>
      </c>
      <c r="K100" s="1" t="s">
        <v>469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 s="1" t="s">
        <v>40</v>
      </c>
      <c r="B101" s="1" t="s">
        <v>41</v>
      </c>
      <c r="C101" s="1" t="s">
        <v>82</v>
      </c>
      <c r="D101" s="1" t="s">
        <v>452</v>
      </c>
      <c r="E101">
        <v>34</v>
      </c>
      <c r="F101" s="10" t="str">
        <f>IF(final_data[[#This Row],[Total_applicants]]=0,"unknown","-")</f>
        <v>-</v>
      </c>
      <c r="G101" s="5">
        <v>6737300</v>
      </c>
      <c r="H101" s="1" t="s">
        <v>43</v>
      </c>
      <c r="I101" s="1" t="s">
        <v>466</v>
      </c>
      <c r="J101">
        <v>10001</v>
      </c>
      <c r="K101" s="1" t="s">
        <v>469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 s="1" t="s">
        <v>40</v>
      </c>
      <c r="B102" s="1" t="s">
        <v>41</v>
      </c>
      <c r="C102" s="1" t="s">
        <v>59</v>
      </c>
      <c r="D102" s="1" t="s">
        <v>457</v>
      </c>
      <c r="E102">
        <v>156</v>
      </c>
      <c r="F102" s="10" t="str">
        <f>IF(final_data[[#This Row],[Total_applicants]]=0,"unknown","-")</f>
        <v>-</v>
      </c>
      <c r="G102" s="5">
        <v>6737300</v>
      </c>
      <c r="H102" s="1" t="s">
        <v>43</v>
      </c>
      <c r="I102" s="1" t="s">
        <v>465</v>
      </c>
      <c r="J102">
        <v>10001</v>
      </c>
      <c r="K102" s="1" t="s">
        <v>469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 s="1" t="s">
        <v>40</v>
      </c>
      <c r="B103" s="1" t="s">
        <v>41</v>
      </c>
      <c r="C103" s="1" t="s">
        <v>54</v>
      </c>
      <c r="D103" s="1" t="s">
        <v>454</v>
      </c>
      <c r="E103">
        <v>39</v>
      </c>
      <c r="F103" s="10" t="str">
        <f>IF(final_data[[#This Row],[Total_applicants]]=0,"unknown","-")</f>
        <v>-</v>
      </c>
      <c r="G103" s="5">
        <v>6737300</v>
      </c>
      <c r="H103" s="1" t="s">
        <v>43</v>
      </c>
      <c r="I103" s="1" t="s">
        <v>465</v>
      </c>
      <c r="J103">
        <v>10001</v>
      </c>
      <c r="K103" s="1" t="s">
        <v>469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 s="1" t="s">
        <v>83</v>
      </c>
      <c r="B104" s="1" t="s">
        <v>84</v>
      </c>
      <c r="C104" s="1" t="s">
        <v>85</v>
      </c>
      <c r="D104" s="1" t="s">
        <v>451</v>
      </c>
      <c r="E104">
        <v>22</v>
      </c>
      <c r="F104" s="10" t="str">
        <f>IF(final_data[[#This Row],[Total_applicants]]=0,"unknown","-")</f>
        <v>-</v>
      </c>
      <c r="G104" s="5">
        <v>270280</v>
      </c>
      <c r="H104" s="1" t="s">
        <v>43</v>
      </c>
      <c r="I104" s="1" t="s">
        <v>465</v>
      </c>
      <c r="J104">
        <v>10001</v>
      </c>
      <c r="K104" s="1" t="s">
        <v>469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</row>
    <row r="105" spans="1:42" x14ac:dyDescent="0.25">
      <c r="A105" s="1" t="s">
        <v>83</v>
      </c>
      <c r="B105" s="1" t="s">
        <v>84</v>
      </c>
      <c r="C105" s="1" t="s">
        <v>85</v>
      </c>
      <c r="D105" s="1" t="s">
        <v>452</v>
      </c>
      <c r="E105">
        <v>6</v>
      </c>
      <c r="F105" s="10" t="str">
        <f>IF(final_data[[#This Row],[Total_applicants]]=0,"unknown","-")</f>
        <v>-</v>
      </c>
      <c r="G105" s="5">
        <v>270280</v>
      </c>
      <c r="H105" s="1" t="s">
        <v>43</v>
      </c>
      <c r="I105" s="1" t="s">
        <v>465</v>
      </c>
      <c r="J105">
        <v>10001</v>
      </c>
      <c r="K105" s="1" t="s">
        <v>469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1</v>
      </c>
    </row>
    <row r="106" spans="1:42" x14ac:dyDescent="0.25">
      <c r="A106" s="1" t="s">
        <v>83</v>
      </c>
      <c r="B106" s="1" t="s">
        <v>84</v>
      </c>
      <c r="C106" s="1" t="s">
        <v>86</v>
      </c>
      <c r="D106" s="1" t="s">
        <v>449</v>
      </c>
      <c r="E106">
        <v>21</v>
      </c>
      <c r="F106" s="10" t="str">
        <f>IF(final_data[[#This Row],[Total_applicants]]=0,"unknown","-")</f>
        <v>-</v>
      </c>
      <c r="G106" s="5">
        <v>270280</v>
      </c>
      <c r="H106" s="1" t="s">
        <v>43</v>
      </c>
      <c r="I106" s="1" t="s">
        <v>466</v>
      </c>
      <c r="J106">
        <v>10001</v>
      </c>
      <c r="K106" s="1" t="s">
        <v>469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 s="1" t="s">
        <v>83</v>
      </c>
      <c r="B107" s="1" t="s">
        <v>84</v>
      </c>
      <c r="C107" s="1" t="s">
        <v>87</v>
      </c>
      <c r="D107" s="1" t="s">
        <v>454</v>
      </c>
      <c r="E107">
        <v>48</v>
      </c>
      <c r="F107" s="10" t="str">
        <f>IF(final_data[[#This Row],[Total_applicants]]=0,"unknown","-")</f>
        <v>-</v>
      </c>
      <c r="G107" s="5">
        <v>270280</v>
      </c>
      <c r="H107" s="1" t="s">
        <v>43</v>
      </c>
      <c r="I107" s="1" t="s">
        <v>465</v>
      </c>
      <c r="J107">
        <v>10001</v>
      </c>
      <c r="K107" s="1" t="s">
        <v>469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1</v>
      </c>
    </row>
    <row r="108" spans="1:42" x14ac:dyDescent="0.25">
      <c r="A108" s="1" t="s">
        <v>83</v>
      </c>
      <c r="B108" s="1" t="s">
        <v>84</v>
      </c>
      <c r="C108" s="1" t="s">
        <v>85</v>
      </c>
      <c r="D108" s="1" t="s">
        <v>450</v>
      </c>
      <c r="E108">
        <v>0</v>
      </c>
      <c r="F108" s="10" t="str">
        <f>IF(final_data[[#This Row],[Total_applicants]]=0,"unknown","-")</f>
        <v>unknown</v>
      </c>
      <c r="G108" s="5">
        <v>270280</v>
      </c>
      <c r="H108" s="1" t="s">
        <v>43</v>
      </c>
      <c r="I108" s="1" t="s">
        <v>465</v>
      </c>
      <c r="J108">
        <v>10001</v>
      </c>
      <c r="K108" s="1" t="s">
        <v>469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</row>
    <row r="109" spans="1:42" x14ac:dyDescent="0.25">
      <c r="A109" s="1" t="s">
        <v>83</v>
      </c>
      <c r="B109" s="1" t="s">
        <v>84</v>
      </c>
      <c r="C109" s="1" t="s">
        <v>88</v>
      </c>
      <c r="D109" s="1" t="s">
        <v>449</v>
      </c>
      <c r="E109">
        <v>46</v>
      </c>
      <c r="F109" s="10" t="str">
        <f>IF(final_data[[#This Row],[Total_applicants]]=0,"unknown","-")</f>
        <v>-</v>
      </c>
      <c r="G109" s="5">
        <v>270280</v>
      </c>
      <c r="H109" s="1" t="s">
        <v>43</v>
      </c>
      <c r="I109" s="1" t="s">
        <v>465</v>
      </c>
      <c r="J109">
        <v>10001</v>
      </c>
      <c r="K109" s="1" t="s">
        <v>469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 s="1" t="s">
        <v>83</v>
      </c>
      <c r="B110" s="1" t="s">
        <v>84</v>
      </c>
      <c r="C110" s="1" t="s">
        <v>89</v>
      </c>
      <c r="D110" s="1" t="s">
        <v>449</v>
      </c>
      <c r="E110">
        <v>31</v>
      </c>
      <c r="F110" s="10" t="str">
        <f>IF(final_data[[#This Row],[Total_applicants]]=0,"unknown","-")</f>
        <v>-</v>
      </c>
      <c r="G110" s="5">
        <v>270280</v>
      </c>
      <c r="H110" s="1" t="s">
        <v>43</v>
      </c>
      <c r="I110" s="1" t="s">
        <v>465</v>
      </c>
      <c r="J110">
        <v>10001</v>
      </c>
      <c r="K110" s="1" t="s">
        <v>469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 s="1" t="s">
        <v>83</v>
      </c>
      <c r="B111" s="1" t="s">
        <v>84</v>
      </c>
      <c r="C111" s="1" t="s">
        <v>90</v>
      </c>
      <c r="D111" s="1" t="s">
        <v>450</v>
      </c>
      <c r="E111">
        <v>3</v>
      </c>
      <c r="F111" s="10" t="str">
        <f>IF(final_data[[#This Row],[Total_applicants]]=0,"unknown","-")</f>
        <v>-</v>
      </c>
      <c r="G111" s="5">
        <v>270280</v>
      </c>
      <c r="H111" s="1" t="s">
        <v>43</v>
      </c>
      <c r="I111" s="1" t="s">
        <v>465</v>
      </c>
      <c r="J111">
        <v>10001</v>
      </c>
      <c r="K111" s="1" t="s">
        <v>469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 s="1" t="s">
        <v>83</v>
      </c>
      <c r="B112" s="1" t="s">
        <v>84</v>
      </c>
      <c r="C112" s="1" t="s">
        <v>85</v>
      </c>
      <c r="D112" s="1" t="s">
        <v>449</v>
      </c>
      <c r="E112">
        <v>6</v>
      </c>
      <c r="F112" s="10" t="str">
        <f>IF(final_data[[#This Row],[Total_applicants]]=0,"unknown","-")</f>
        <v>-</v>
      </c>
      <c r="G112" s="5">
        <v>270280</v>
      </c>
      <c r="H112" s="1" t="s">
        <v>43</v>
      </c>
      <c r="I112" s="1" t="s">
        <v>465</v>
      </c>
      <c r="J112">
        <v>10001</v>
      </c>
      <c r="K112" s="1" t="s">
        <v>469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 s="1" t="s">
        <v>83</v>
      </c>
      <c r="B113" s="1" t="s">
        <v>84</v>
      </c>
      <c r="C113" s="1" t="s">
        <v>91</v>
      </c>
      <c r="D113" s="1" t="s">
        <v>449</v>
      </c>
      <c r="E113">
        <v>14</v>
      </c>
      <c r="F113" s="10" t="str">
        <f>IF(final_data[[#This Row],[Total_applicants]]=0,"unknown","-")</f>
        <v>-</v>
      </c>
      <c r="G113" s="5">
        <v>270280</v>
      </c>
      <c r="H113" s="1" t="s">
        <v>43</v>
      </c>
      <c r="I113" s="1" t="s">
        <v>466</v>
      </c>
      <c r="J113">
        <v>10001</v>
      </c>
      <c r="K113" s="1" t="s">
        <v>469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x14ac:dyDescent="0.25">
      <c r="A114" s="1" t="s">
        <v>83</v>
      </c>
      <c r="B114" s="1" t="s">
        <v>84</v>
      </c>
      <c r="C114" s="1" t="s">
        <v>80</v>
      </c>
      <c r="D114" s="1" t="s">
        <v>450</v>
      </c>
      <c r="E114">
        <v>5</v>
      </c>
      <c r="F114" s="10" t="str">
        <f>IF(final_data[[#This Row],[Total_applicants]]=0,"unknown","-")</f>
        <v>-</v>
      </c>
      <c r="G114" s="5">
        <v>270280</v>
      </c>
      <c r="H114" s="1" t="s">
        <v>43</v>
      </c>
      <c r="I114" s="1" t="s">
        <v>466</v>
      </c>
      <c r="J114">
        <v>10001</v>
      </c>
      <c r="K114" s="1" t="s">
        <v>469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 s="1" t="s">
        <v>83</v>
      </c>
      <c r="B115" s="1" t="s">
        <v>84</v>
      </c>
      <c r="C115" s="1" t="s">
        <v>80</v>
      </c>
      <c r="D115" s="1" t="s">
        <v>450</v>
      </c>
      <c r="E115">
        <v>4</v>
      </c>
      <c r="F115" s="10" t="str">
        <f>IF(final_data[[#This Row],[Total_applicants]]=0,"unknown","-")</f>
        <v>-</v>
      </c>
      <c r="G115" s="5">
        <v>270280</v>
      </c>
      <c r="H115" s="1" t="s">
        <v>43</v>
      </c>
      <c r="I115" s="1" t="s">
        <v>466</v>
      </c>
      <c r="J115">
        <v>10001</v>
      </c>
      <c r="K115" s="1" t="s">
        <v>469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 s="1" t="s">
        <v>83</v>
      </c>
      <c r="B116" s="1" t="s">
        <v>84</v>
      </c>
      <c r="C116" s="1" t="s">
        <v>92</v>
      </c>
      <c r="D116" s="1" t="s">
        <v>451</v>
      </c>
      <c r="E116">
        <v>1</v>
      </c>
      <c r="F116" s="10" t="str">
        <f>IF(final_data[[#This Row],[Total_applicants]]=0,"unknown","-")</f>
        <v>-</v>
      </c>
      <c r="G116" s="5">
        <v>270280</v>
      </c>
      <c r="H116" s="1" t="s">
        <v>43</v>
      </c>
      <c r="I116" s="1" t="s">
        <v>466</v>
      </c>
      <c r="J116">
        <v>10001</v>
      </c>
      <c r="K116" s="1" t="s">
        <v>469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1</v>
      </c>
    </row>
    <row r="117" spans="1:42" x14ac:dyDescent="0.25">
      <c r="A117" s="1" t="s">
        <v>83</v>
      </c>
      <c r="B117" s="1" t="s">
        <v>84</v>
      </c>
      <c r="C117" s="1" t="s">
        <v>93</v>
      </c>
      <c r="D117" s="1" t="s">
        <v>450</v>
      </c>
      <c r="E117">
        <v>7</v>
      </c>
      <c r="F117" s="10" t="str">
        <f>IF(final_data[[#This Row],[Total_applicants]]=0,"unknown","-")</f>
        <v>-</v>
      </c>
      <c r="G117" s="5">
        <v>270280</v>
      </c>
      <c r="H117" s="1" t="s">
        <v>43</v>
      </c>
      <c r="I117" s="1" t="s">
        <v>466</v>
      </c>
      <c r="J117">
        <v>10001</v>
      </c>
      <c r="K117" s="1" t="s">
        <v>469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 s="1" t="s">
        <v>83</v>
      </c>
      <c r="B118" s="1" t="s">
        <v>84</v>
      </c>
      <c r="C118" s="1" t="s">
        <v>93</v>
      </c>
      <c r="D118" s="1" t="s">
        <v>452</v>
      </c>
      <c r="E118">
        <v>8</v>
      </c>
      <c r="F118" s="10" t="str">
        <f>IF(final_data[[#This Row],[Total_applicants]]=0,"unknown","-")</f>
        <v>-</v>
      </c>
      <c r="G118" s="5">
        <v>270280</v>
      </c>
      <c r="H118" s="1" t="s">
        <v>43</v>
      </c>
      <c r="I118" s="1" t="s">
        <v>466</v>
      </c>
      <c r="J118">
        <v>10001</v>
      </c>
      <c r="K118" s="1" t="s">
        <v>469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 s="1" t="s">
        <v>83</v>
      </c>
      <c r="B119" s="1" t="s">
        <v>84</v>
      </c>
      <c r="C119" s="1" t="s">
        <v>94</v>
      </c>
      <c r="D119" s="1" t="s">
        <v>456</v>
      </c>
      <c r="E119">
        <v>11</v>
      </c>
      <c r="F119" s="10" t="str">
        <f>IF(final_data[[#This Row],[Total_applicants]]=0,"unknown","-")</f>
        <v>-</v>
      </c>
      <c r="G119" s="5">
        <v>270280</v>
      </c>
      <c r="H119" s="1" t="s">
        <v>43</v>
      </c>
      <c r="I119" s="1" t="s">
        <v>465</v>
      </c>
      <c r="J119">
        <v>10001</v>
      </c>
      <c r="K119" s="1" t="s">
        <v>469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 s="1" t="s">
        <v>83</v>
      </c>
      <c r="B120" s="1" t="s">
        <v>84</v>
      </c>
      <c r="C120" s="1" t="s">
        <v>93</v>
      </c>
      <c r="D120" s="1" t="s">
        <v>449</v>
      </c>
      <c r="E120">
        <v>21</v>
      </c>
      <c r="F120" s="10" t="str">
        <f>IF(final_data[[#This Row],[Total_applicants]]=0,"unknown","-")</f>
        <v>-</v>
      </c>
      <c r="G120" s="5">
        <v>270280</v>
      </c>
      <c r="H120" s="1" t="s">
        <v>43</v>
      </c>
      <c r="I120" s="1" t="s">
        <v>466</v>
      </c>
      <c r="J120">
        <v>10001</v>
      </c>
      <c r="K120" s="1" t="s">
        <v>469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 s="1" t="s">
        <v>83</v>
      </c>
      <c r="B121" s="1" t="s">
        <v>84</v>
      </c>
      <c r="C121" s="1" t="s">
        <v>85</v>
      </c>
      <c r="D121" s="1" t="s">
        <v>449</v>
      </c>
      <c r="E121">
        <v>5</v>
      </c>
      <c r="F121" s="10" t="str">
        <f>IF(final_data[[#This Row],[Total_applicants]]=0,"unknown","-")</f>
        <v>-</v>
      </c>
      <c r="G121" s="5">
        <v>270280</v>
      </c>
      <c r="H121" s="1" t="s">
        <v>43</v>
      </c>
      <c r="I121" s="1" t="s">
        <v>465</v>
      </c>
      <c r="J121">
        <v>10001</v>
      </c>
      <c r="K121" s="1" t="s">
        <v>469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 s="1" t="s">
        <v>83</v>
      </c>
      <c r="B122" s="1" t="s">
        <v>84</v>
      </c>
      <c r="C122" s="1" t="s">
        <v>93</v>
      </c>
      <c r="D122" s="1" t="s">
        <v>449</v>
      </c>
      <c r="E122">
        <v>12</v>
      </c>
      <c r="F122" s="10" t="str">
        <f>IF(final_data[[#This Row],[Total_applicants]]=0,"unknown","-")</f>
        <v>-</v>
      </c>
      <c r="G122" s="5">
        <v>270280</v>
      </c>
      <c r="H122" s="1" t="s">
        <v>43</v>
      </c>
      <c r="I122" s="1" t="s">
        <v>466</v>
      </c>
      <c r="J122">
        <v>10001</v>
      </c>
      <c r="K122" s="1" t="s">
        <v>469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 s="1" t="s">
        <v>83</v>
      </c>
      <c r="B123" s="1" t="s">
        <v>84</v>
      </c>
      <c r="C123" s="1" t="s">
        <v>95</v>
      </c>
      <c r="D123" s="1" t="s">
        <v>449</v>
      </c>
      <c r="E123">
        <v>14</v>
      </c>
      <c r="F123" s="10" t="str">
        <f>IF(final_data[[#This Row],[Total_applicants]]=0,"unknown","-")</f>
        <v>-</v>
      </c>
      <c r="G123" s="5">
        <v>270280</v>
      </c>
      <c r="H123" s="1" t="s">
        <v>43</v>
      </c>
      <c r="I123" s="1" t="s">
        <v>466</v>
      </c>
      <c r="J123">
        <v>10001</v>
      </c>
      <c r="K123" s="1" t="s">
        <v>469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 s="1" t="s">
        <v>83</v>
      </c>
      <c r="B124" s="1" t="s">
        <v>84</v>
      </c>
      <c r="C124" s="1" t="s">
        <v>92</v>
      </c>
      <c r="D124" s="1" t="s">
        <v>449</v>
      </c>
      <c r="E124">
        <v>10</v>
      </c>
      <c r="F124" s="10" t="str">
        <f>IF(final_data[[#This Row],[Total_applicants]]=0,"unknown","-")</f>
        <v>-</v>
      </c>
      <c r="G124" s="5">
        <v>270280</v>
      </c>
      <c r="H124" s="1" t="s">
        <v>43</v>
      </c>
      <c r="I124" s="1" t="s">
        <v>466</v>
      </c>
      <c r="J124">
        <v>10001</v>
      </c>
      <c r="K124" s="1" t="s">
        <v>469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 s="1" t="s">
        <v>83</v>
      </c>
      <c r="B125" s="1" t="s">
        <v>84</v>
      </c>
      <c r="C125" s="1" t="s">
        <v>89</v>
      </c>
      <c r="D125" s="1" t="s">
        <v>456</v>
      </c>
      <c r="E125">
        <v>56</v>
      </c>
      <c r="F125" s="10" t="str">
        <f>IF(final_data[[#This Row],[Total_applicants]]=0,"unknown","-")</f>
        <v>-</v>
      </c>
      <c r="G125" s="5">
        <v>270280</v>
      </c>
      <c r="H125" s="1" t="s">
        <v>43</v>
      </c>
      <c r="I125" s="1" t="s">
        <v>465</v>
      </c>
      <c r="J125">
        <v>10001</v>
      </c>
      <c r="K125" s="1" t="s">
        <v>469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 s="1" t="s">
        <v>83</v>
      </c>
      <c r="B126" s="1" t="s">
        <v>84</v>
      </c>
      <c r="C126" s="1" t="s">
        <v>49</v>
      </c>
      <c r="D126" s="1" t="s">
        <v>450</v>
      </c>
      <c r="E126">
        <v>1</v>
      </c>
      <c r="F126" s="10" t="str">
        <f>IF(final_data[[#This Row],[Total_applicants]]=0,"unknown","-")</f>
        <v>-</v>
      </c>
      <c r="G126" s="5">
        <v>270280</v>
      </c>
      <c r="H126" s="1" t="s">
        <v>43</v>
      </c>
      <c r="I126" s="1" t="s">
        <v>466</v>
      </c>
      <c r="J126">
        <v>10001</v>
      </c>
      <c r="K126" s="1" t="s">
        <v>469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 s="1" t="s">
        <v>83</v>
      </c>
      <c r="B127" s="1" t="s">
        <v>84</v>
      </c>
      <c r="C127" s="1" t="s">
        <v>93</v>
      </c>
      <c r="D127" s="1" t="s">
        <v>455</v>
      </c>
      <c r="E127">
        <v>3</v>
      </c>
      <c r="F127" s="10" t="str">
        <f>IF(final_data[[#This Row],[Total_applicants]]=0,"unknown","-")</f>
        <v>-</v>
      </c>
      <c r="G127" s="5">
        <v>270280</v>
      </c>
      <c r="H127" s="1" t="s">
        <v>43</v>
      </c>
      <c r="I127" s="1" t="s">
        <v>466</v>
      </c>
      <c r="J127">
        <v>10001</v>
      </c>
      <c r="K127" s="1" t="s">
        <v>469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 s="1" t="s">
        <v>83</v>
      </c>
      <c r="B128" s="1" t="s">
        <v>84</v>
      </c>
      <c r="C128" s="1" t="s">
        <v>93</v>
      </c>
      <c r="D128" s="1" t="s">
        <v>454</v>
      </c>
      <c r="E128">
        <v>8</v>
      </c>
      <c r="F128" s="10" t="str">
        <f>IF(final_data[[#This Row],[Total_applicants]]=0,"unknown","-")</f>
        <v>-</v>
      </c>
      <c r="G128" s="5">
        <v>270280</v>
      </c>
      <c r="H128" s="1" t="s">
        <v>43</v>
      </c>
      <c r="I128" s="1" t="s">
        <v>466</v>
      </c>
      <c r="J128">
        <v>10001</v>
      </c>
      <c r="K128" s="1" t="s">
        <v>469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 s="1" t="s">
        <v>83</v>
      </c>
      <c r="B129" s="1" t="s">
        <v>84</v>
      </c>
      <c r="C129" s="1" t="s">
        <v>96</v>
      </c>
      <c r="D129" s="1" t="s">
        <v>454</v>
      </c>
      <c r="E129">
        <v>5</v>
      </c>
      <c r="F129" s="10" t="str">
        <f>IF(final_data[[#This Row],[Total_applicants]]=0,"unknown","-")</f>
        <v>-</v>
      </c>
      <c r="G129" s="5">
        <v>270280</v>
      </c>
      <c r="H129" s="1" t="s">
        <v>43</v>
      </c>
      <c r="I129" s="1" t="s">
        <v>466</v>
      </c>
      <c r="J129">
        <v>10001</v>
      </c>
      <c r="K129" s="1" t="s">
        <v>469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 s="1" t="s">
        <v>83</v>
      </c>
      <c r="B130" s="1" t="s">
        <v>84</v>
      </c>
      <c r="C130" s="1" t="s">
        <v>96</v>
      </c>
      <c r="D130" s="1" t="s">
        <v>452</v>
      </c>
      <c r="E130">
        <v>4</v>
      </c>
      <c r="F130" s="10" t="str">
        <f>IF(final_data[[#This Row],[Total_applicants]]=0,"unknown","-")</f>
        <v>-</v>
      </c>
      <c r="G130" s="5">
        <v>270280</v>
      </c>
      <c r="H130" s="1" t="s">
        <v>43</v>
      </c>
      <c r="I130" s="1" t="s">
        <v>466</v>
      </c>
      <c r="J130">
        <v>10001</v>
      </c>
      <c r="K130" s="1" t="s">
        <v>469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 s="1" t="s">
        <v>83</v>
      </c>
      <c r="B131" s="1" t="s">
        <v>84</v>
      </c>
      <c r="C131" s="1" t="s">
        <v>97</v>
      </c>
      <c r="D131" s="1" t="s">
        <v>449</v>
      </c>
      <c r="E131">
        <v>10</v>
      </c>
      <c r="F131" s="10" t="str">
        <f>IF(final_data[[#This Row],[Total_applicants]]=0,"unknown","-")</f>
        <v>-</v>
      </c>
      <c r="G131" s="5">
        <v>270280</v>
      </c>
      <c r="H131" s="1" t="s">
        <v>43</v>
      </c>
      <c r="I131" s="1" t="s">
        <v>466</v>
      </c>
      <c r="J131">
        <v>10001</v>
      </c>
      <c r="K131" s="1" t="s">
        <v>469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 s="1" t="s">
        <v>83</v>
      </c>
      <c r="B132" s="1" t="s">
        <v>84</v>
      </c>
      <c r="C132" s="1" t="s">
        <v>98</v>
      </c>
      <c r="D132" s="1" t="s">
        <v>449</v>
      </c>
      <c r="E132">
        <v>12</v>
      </c>
      <c r="F132" s="10" t="str">
        <f>IF(final_data[[#This Row],[Total_applicants]]=0,"unknown","-")</f>
        <v>-</v>
      </c>
      <c r="G132" s="5">
        <v>270280</v>
      </c>
      <c r="H132" s="1" t="s">
        <v>43</v>
      </c>
      <c r="I132" s="1" t="s">
        <v>465</v>
      </c>
      <c r="J132">
        <v>10001</v>
      </c>
      <c r="K132" s="1" t="s">
        <v>469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1</v>
      </c>
      <c r="AP132">
        <v>1</v>
      </c>
    </row>
    <row r="133" spans="1:42" x14ac:dyDescent="0.25">
      <c r="A133" s="1" t="s">
        <v>83</v>
      </c>
      <c r="B133" s="1" t="s">
        <v>84</v>
      </c>
      <c r="C133" s="1" t="s">
        <v>99</v>
      </c>
      <c r="D133" s="1" t="s">
        <v>449</v>
      </c>
      <c r="E133">
        <v>77</v>
      </c>
      <c r="F133" s="10" t="str">
        <f>IF(final_data[[#This Row],[Total_applicants]]=0,"unknown","-")</f>
        <v>-</v>
      </c>
      <c r="G133" s="5">
        <v>270280</v>
      </c>
      <c r="H133" s="1" t="s">
        <v>43</v>
      </c>
      <c r="I133" s="1" t="s">
        <v>466</v>
      </c>
      <c r="J133">
        <v>10001</v>
      </c>
      <c r="K133" s="1" t="s">
        <v>469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 s="1" t="s">
        <v>83</v>
      </c>
      <c r="B134" s="1" t="s">
        <v>84</v>
      </c>
      <c r="C134" s="1" t="s">
        <v>85</v>
      </c>
      <c r="D134" s="1" t="s">
        <v>454</v>
      </c>
      <c r="E134">
        <v>2</v>
      </c>
      <c r="F134" s="10" t="str">
        <f>IF(final_data[[#This Row],[Total_applicants]]=0,"unknown","-")</f>
        <v>-</v>
      </c>
      <c r="G134" s="5">
        <v>270280</v>
      </c>
      <c r="H134" s="1" t="s">
        <v>43</v>
      </c>
      <c r="I134" s="1" t="s">
        <v>465</v>
      </c>
      <c r="J134">
        <v>10001</v>
      </c>
      <c r="K134" s="1" t="s">
        <v>469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 s="1" t="s">
        <v>83</v>
      </c>
      <c r="B135" s="1" t="s">
        <v>84</v>
      </c>
      <c r="C135" s="1" t="s">
        <v>92</v>
      </c>
      <c r="D135" s="1" t="s">
        <v>453</v>
      </c>
      <c r="E135">
        <v>17</v>
      </c>
      <c r="F135" s="10" t="str">
        <f>IF(final_data[[#This Row],[Total_applicants]]=0,"unknown","-")</f>
        <v>-</v>
      </c>
      <c r="G135" s="5">
        <v>270280</v>
      </c>
      <c r="H135" s="1" t="s">
        <v>43</v>
      </c>
      <c r="I135" s="1" t="s">
        <v>466</v>
      </c>
      <c r="J135">
        <v>10001</v>
      </c>
      <c r="K135" s="1" t="s">
        <v>469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1</v>
      </c>
    </row>
    <row r="136" spans="1:42" x14ac:dyDescent="0.25">
      <c r="A136" s="1" t="s">
        <v>83</v>
      </c>
      <c r="B136" s="1" t="s">
        <v>84</v>
      </c>
      <c r="C136" s="1" t="s">
        <v>89</v>
      </c>
      <c r="D136" s="1" t="s">
        <v>452</v>
      </c>
      <c r="E136">
        <v>22</v>
      </c>
      <c r="F136" s="10" t="str">
        <f>IF(final_data[[#This Row],[Total_applicants]]=0,"unknown","-")</f>
        <v>-</v>
      </c>
      <c r="G136" s="5">
        <v>270280</v>
      </c>
      <c r="H136" s="1" t="s">
        <v>43</v>
      </c>
      <c r="I136" s="1" t="s">
        <v>465</v>
      </c>
      <c r="J136">
        <v>10001</v>
      </c>
      <c r="K136" s="1" t="s">
        <v>469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 s="1" t="s">
        <v>83</v>
      </c>
      <c r="B137" s="1" t="s">
        <v>84</v>
      </c>
      <c r="C137" s="1" t="s">
        <v>93</v>
      </c>
      <c r="D137" s="1" t="s">
        <v>456</v>
      </c>
      <c r="E137">
        <v>13</v>
      </c>
      <c r="F137" s="10" t="str">
        <f>IF(final_data[[#This Row],[Total_applicants]]=0,"unknown","-")</f>
        <v>-</v>
      </c>
      <c r="G137" s="5">
        <v>270280</v>
      </c>
      <c r="H137" s="1" t="s">
        <v>43</v>
      </c>
      <c r="I137" s="1" t="s">
        <v>466</v>
      </c>
      <c r="J137">
        <v>10001</v>
      </c>
      <c r="K137" s="1" t="s">
        <v>469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 s="1" t="s">
        <v>83</v>
      </c>
      <c r="B138" s="1" t="s">
        <v>84</v>
      </c>
      <c r="C138" s="1" t="s">
        <v>100</v>
      </c>
      <c r="D138" s="1" t="s">
        <v>449</v>
      </c>
      <c r="E138">
        <v>25</v>
      </c>
      <c r="F138" s="10" t="str">
        <f>IF(final_data[[#This Row],[Total_applicants]]=0,"unknown","-")</f>
        <v>-</v>
      </c>
      <c r="G138" s="5">
        <v>270280</v>
      </c>
      <c r="H138" s="1" t="s">
        <v>43</v>
      </c>
      <c r="I138" s="1" t="s">
        <v>465</v>
      </c>
      <c r="J138">
        <v>10001</v>
      </c>
      <c r="K138" s="1" t="s">
        <v>469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 s="1" t="s">
        <v>83</v>
      </c>
      <c r="B139" s="1" t="s">
        <v>84</v>
      </c>
      <c r="C139" s="1" t="s">
        <v>96</v>
      </c>
      <c r="D139" s="1" t="s">
        <v>455</v>
      </c>
      <c r="E139">
        <v>6</v>
      </c>
      <c r="F139" s="10" t="str">
        <f>IF(final_data[[#This Row],[Total_applicants]]=0,"unknown","-")</f>
        <v>-</v>
      </c>
      <c r="G139" s="5">
        <v>270280</v>
      </c>
      <c r="H139" s="1" t="s">
        <v>43</v>
      </c>
      <c r="I139" s="1" t="s">
        <v>466</v>
      </c>
      <c r="J139">
        <v>10001</v>
      </c>
      <c r="K139" s="1" t="s">
        <v>469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 s="1" t="s">
        <v>83</v>
      </c>
      <c r="B140" s="1" t="s">
        <v>84</v>
      </c>
      <c r="C140" s="1" t="s">
        <v>101</v>
      </c>
      <c r="D140" s="1" t="s">
        <v>452</v>
      </c>
      <c r="E140">
        <v>31</v>
      </c>
      <c r="F140" s="10" t="str">
        <f>IF(final_data[[#This Row],[Total_applicants]]=0,"unknown","-")</f>
        <v>-</v>
      </c>
      <c r="G140" s="5">
        <v>270280</v>
      </c>
      <c r="H140" s="1" t="s">
        <v>43</v>
      </c>
      <c r="I140" s="1" t="s">
        <v>465</v>
      </c>
      <c r="J140">
        <v>10001</v>
      </c>
      <c r="K140" s="1" t="s">
        <v>469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 s="1" t="s">
        <v>83</v>
      </c>
      <c r="B141" s="1" t="s">
        <v>84</v>
      </c>
      <c r="C141" s="1" t="s">
        <v>102</v>
      </c>
      <c r="D141" s="1" t="s">
        <v>450</v>
      </c>
      <c r="E141">
        <v>0</v>
      </c>
      <c r="F141" s="10" t="str">
        <f>IF(final_data[[#This Row],[Total_applicants]]=0,"unknown","-")</f>
        <v>unknown</v>
      </c>
      <c r="G141" s="5">
        <v>270280</v>
      </c>
      <c r="H141" s="1" t="s">
        <v>43</v>
      </c>
      <c r="I141" s="1" t="s">
        <v>466</v>
      </c>
      <c r="J141">
        <v>10001</v>
      </c>
      <c r="K141" s="1" t="s">
        <v>469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 s="1" t="s">
        <v>83</v>
      </c>
      <c r="B142" s="1" t="s">
        <v>84</v>
      </c>
      <c r="C142" s="1" t="s">
        <v>103</v>
      </c>
      <c r="D142" s="1" t="s">
        <v>450</v>
      </c>
      <c r="E142">
        <v>36</v>
      </c>
      <c r="F142" s="10" t="str">
        <f>IF(final_data[[#This Row],[Total_applicants]]=0,"unknown","-")</f>
        <v>-</v>
      </c>
      <c r="G142" s="5">
        <v>270280</v>
      </c>
      <c r="H142" s="1" t="s">
        <v>43</v>
      </c>
      <c r="I142" s="1" t="s">
        <v>465</v>
      </c>
      <c r="J142">
        <v>10001</v>
      </c>
      <c r="K142" s="1" t="s">
        <v>469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1</v>
      </c>
    </row>
    <row r="143" spans="1:42" x14ac:dyDescent="0.25">
      <c r="A143" s="1" t="s">
        <v>83</v>
      </c>
      <c r="B143" s="1" t="s">
        <v>84</v>
      </c>
      <c r="C143" s="1" t="s">
        <v>94</v>
      </c>
      <c r="D143" s="1" t="s">
        <v>449</v>
      </c>
      <c r="E143">
        <v>6</v>
      </c>
      <c r="F143" s="10" t="str">
        <f>IF(final_data[[#This Row],[Total_applicants]]=0,"unknown","-")</f>
        <v>-</v>
      </c>
      <c r="G143" s="5">
        <v>270280</v>
      </c>
      <c r="H143" s="1" t="s">
        <v>43</v>
      </c>
      <c r="I143" s="1" t="s">
        <v>465</v>
      </c>
      <c r="J143">
        <v>10001</v>
      </c>
      <c r="K143" s="1" t="s">
        <v>469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 s="1" t="s">
        <v>83</v>
      </c>
      <c r="B144" s="1" t="s">
        <v>84</v>
      </c>
      <c r="C144" s="1" t="s">
        <v>94</v>
      </c>
      <c r="D144" s="1" t="s">
        <v>452</v>
      </c>
      <c r="E144">
        <v>7</v>
      </c>
      <c r="F144" s="10" t="str">
        <f>IF(final_data[[#This Row],[Total_applicants]]=0,"unknown","-")</f>
        <v>-</v>
      </c>
      <c r="G144" s="5">
        <v>270280</v>
      </c>
      <c r="H144" s="1" t="s">
        <v>43</v>
      </c>
      <c r="I144" s="1" t="s">
        <v>465</v>
      </c>
      <c r="J144">
        <v>10001</v>
      </c>
      <c r="K144" s="1" t="s">
        <v>469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 s="1" t="s">
        <v>83</v>
      </c>
      <c r="B145" s="1" t="s">
        <v>84</v>
      </c>
      <c r="C145" s="1" t="s">
        <v>94</v>
      </c>
      <c r="D145" s="1" t="s">
        <v>449</v>
      </c>
      <c r="E145">
        <v>5</v>
      </c>
      <c r="F145" s="10" t="str">
        <f>IF(final_data[[#This Row],[Total_applicants]]=0,"unknown","-")</f>
        <v>-</v>
      </c>
      <c r="G145" s="5">
        <v>270280</v>
      </c>
      <c r="H145" s="1" t="s">
        <v>43</v>
      </c>
      <c r="I145" s="1" t="s">
        <v>465</v>
      </c>
      <c r="J145">
        <v>10001</v>
      </c>
      <c r="K145" s="1" t="s">
        <v>469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 s="1" t="s">
        <v>83</v>
      </c>
      <c r="B146" s="1" t="s">
        <v>84</v>
      </c>
      <c r="C146" s="1" t="s">
        <v>104</v>
      </c>
      <c r="D146" s="1" t="s">
        <v>449</v>
      </c>
      <c r="E146">
        <v>42</v>
      </c>
      <c r="F146" s="10" t="str">
        <f>IF(final_data[[#This Row],[Total_applicants]]=0,"unknown","-")</f>
        <v>-</v>
      </c>
      <c r="G146" s="5">
        <v>270280</v>
      </c>
      <c r="H146" s="1" t="s">
        <v>43</v>
      </c>
      <c r="I146" s="1" t="s">
        <v>465</v>
      </c>
      <c r="J146">
        <v>10001</v>
      </c>
      <c r="K146" s="1" t="s">
        <v>469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1</v>
      </c>
      <c r="AP146">
        <v>1</v>
      </c>
    </row>
    <row r="147" spans="1:42" x14ac:dyDescent="0.25">
      <c r="A147" s="1" t="s">
        <v>83</v>
      </c>
      <c r="B147" s="1" t="s">
        <v>84</v>
      </c>
      <c r="C147" s="1" t="s">
        <v>100</v>
      </c>
      <c r="D147" s="1" t="s">
        <v>449</v>
      </c>
      <c r="E147">
        <v>14</v>
      </c>
      <c r="F147" s="10" t="str">
        <f>IF(final_data[[#This Row],[Total_applicants]]=0,"unknown","-")</f>
        <v>-</v>
      </c>
      <c r="G147" s="5">
        <v>270280</v>
      </c>
      <c r="H147" s="1" t="s">
        <v>43</v>
      </c>
      <c r="I147" s="1" t="s">
        <v>465</v>
      </c>
      <c r="J147">
        <v>10001</v>
      </c>
      <c r="K147" s="1" t="s">
        <v>469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 s="1" t="s">
        <v>83</v>
      </c>
      <c r="B148" s="1" t="s">
        <v>84</v>
      </c>
      <c r="C148" s="1" t="s">
        <v>98</v>
      </c>
      <c r="D148" s="1" t="s">
        <v>454</v>
      </c>
      <c r="E148">
        <v>19</v>
      </c>
      <c r="F148" s="10" t="str">
        <f>IF(final_data[[#This Row],[Total_applicants]]=0,"unknown","-")</f>
        <v>-</v>
      </c>
      <c r="G148" s="5">
        <v>270280</v>
      </c>
      <c r="H148" s="1" t="s">
        <v>43</v>
      </c>
      <c r="I148" s="1" t="s">
        <v>465</v>
      </c>
      <c r="J148">
        <v>10001</v>
      </c>
      <c r="K148" s="1" t="s">
        <v>469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1</v>
      </c>
      <c r="AP148">
        <v>1</v>
      </c>
    </row>
    <row r="149" spans="1:42" x14ac:dyDescent="0.25">
      <c r="A149" s="1" t="s">
        <v>83</v>
      </c>
      <c r="B149" s="1" t="s">
        <v>84</v>
      </c>
      <c r="C149" s="1" t="s">
        <v>105</v>
      </c>
      <c r="D149" s="1" t="s">
        <v>449</v>
      </c>
      <c r="E149">
        <v>3</v>
      </c>
      <c r="F149" s="10" t="str">
        <f>IF(final_data[[#This Row],[Total_applicants]]=0,"unknown","-")</f>
        <v>-</v>
      </c>
      <c r="G149" s="5">
        <v>270280</v>
      </c>
      <c r="H149" s="1" t="s">
        <v>43</v>
      </c>
      <c r="I149" s="1" t="s">
        <v>466</v>
      </c>
      <c r="J149">
        <v>10001</v>
      </c>
      <c r="K149" s="1" t="s">
        <v>469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</row>
    <row r="150" spans="1:42" x14ac:dyDescent="0.25">
      <c r="A150" s="1" t="s">
        <v>83</v>
      </c>
      <c r="B150" s="1" t="s">
        <v>84</v>
      </c>
      <c r="C150" s="1" t="s">
        <v>106</v>
      </c>
      <c r="D150" s="1" t="s">
        <v>449</v>
      </c>
      <c r="E150">
        <v>3</v>
      </c>
      <c r="F150" s="10" t="str">
        <f>IF(final_data[[#This Row],[Total_applicants]]=0,"unknown","-")</f>
        <v>-</v>
      </c>
      <c r="G150" s="5">
        <v>270280</v>
      </c>
      <c r="H150" s="1" t="s">
        <v>43</v>
      </c>
      <c r="I150" s="1" t="s">
        <v>465</v>
      </c>
      <c r="J150">
        <v>10001</v>
      </c>
      <c r="K150" s="1" t="s">
        <v>469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 s="1" t="s">
        <v>83</v>
      </c>
      <c r="B151" s="1" t="s">
        <v>84</v>
      </c>
      <c r="C151" s="1" t="s">
        <v>107</v>
      </c>
      <c r="D151" s="1" t="s">
        <v>450</v>
      </c>
      <c r="E151">
        <v>23</v>
      </c>
      <c r="F151" s="10" t="str">
        <f>IF(final_data[[#This Row],[Total_applicants]]=0,"unknown","-")</f>
        <v>-</v>
      </c>
      <c r="G151" s="5">
        <v>270280</v>
      </c>
      <c r="H151" s="1" t="s">
        <v>43</v>
      </c>
      <c r="I151" s="1" t="s">
        <v>466</v>
      </c>
      <c r="J151">
        <v>10001</v>
      </c>
      <c r="K151" s="1" t="s">
        <v>469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 s="1" t="s">
        <v>83</v>
      </c>
      <c r="B152" s="1" t="s">
        <v>84</v>
      </c>
      <c r="C152" s="1" t="s">
        <v>93</v>
      </c>
      <c r="D152" s="1" t="s">
        <v>451</v>
      </c>
      <c r="E152">
        <v>14</v>
      </c>
      <c r="F152" s="10" t="str">
        <f>IF(final_data[[#This Row],[Total_applicants]]=0,"unknown","-")</f>
        <v>-</v>
      </c>
      <c r="G152" s="5">
        <v>270280</v>
      </c>
      <c r="H152" s="1" t="s">
        <v>43</v>
      </c>
      <c r="I152" s="1" t="s">
        <v>466</v>
      </c>
      <c r="J152">
        <v>10001</v>
      </c>
      <c r="K152" s="1" t="s">
        <v>469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 s="1" t="s">
        <v>83</v>
      </c>
      <c r="B153" s="1" t="s">
        <v>84</v>
      </c>
      <c r="C153" s="1" t="s">
        <v>93</v>
      </c>
      <c r="D153" s="1" t="s">
        <v>453</v>
      </c>
      <c r="E153">
        <v>15</v>
      </c>
      <c r="F153" s="10" t="str">
        <f>IF(final_data[[#This Row],[Total_applicants]]=0,"unknown","-")</f>
        <v>-</v>
      </c>
      <c r="G153" s="5">
        <v>270280</v>
      </c>
      <c r="H153" s="1" t="s">
        <v>43</v>
      </c>
      <c r="I153" s="1" t="s">
        <v>466</v>
      </c>
      <c r="J153">
        <v>10001</v>
      </c>
      <c r="K153" s="1" t="s">
        <v>469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 s="1" t="s">
        <v>83</v>
      </c>
      <c r="B154" s="1" t="s">
        <v>84</v>
      </c>
      <c r="C154" s="1" t="s">
        <v>108</v>
      </c>
      <c r="D154" s="1" t="s">
        <v>450</v>
      </c>
      <c r="E154">
        <v>2</v>
      </c>
      <c r="F154" s="10" t="str">
        <f>IF(final_data[[#This Row],[Total_applicants]]=0,"unknown","-")</f>
        <v>-</v>
      </c>
      <c r="G154" s="5">
        <v>270280</v>
      </c>
      <c r="H154" s="1" t="s">
        <v>43</v>
      </c>
      <c r="I154" s="1" t="s">
        <v>467</v>
      </c>
      <c r="J154">
        <v>10001</v>
      </c>
      <c r="K154" s="1" t="s">
        <v>469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 s="1" t="s">
        <v>83</v>
      </c>
      <c r="B155" s="1" t="s">
        <v>84</v>
      </c>
      <c r="C155" s="1" t="s">
        <v>109</v>
      </c>
      <c r="D155" s="1" t="s">
        <v>449</v>
      </c>
      <c r="E155">
        <v>3</v>
      </c>
      <c r="F155" s="10" t="str">
        <f>IF(final_data[[#This Row],[Total_applicants]]=0,"unknown","-")</f>
        <v>-</v>
      </c>
      <c r="G155" s="5">
        <v>270280</v>
      </c>
      <c r="H155" s="1" t="s">
        <v>43</v>
      </c>
      <c r="I155" s="1" t="s">
        <v>465</v>
      </c>
      <c r="J155">
        <v>10001</v>
      </c>
      <c r="K155" s="1" t="s">
        <v>469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 s="1" t="s">
        <v>83</v>
      </c>
      <c r="B156" s="1" t="s">
        <v>84</v>
      </c>
      <c r="C156" s="1" t="s">
        <v>109</v>
      </c>
      <c r="D156" s="1" t="s">
        <v>450</v>
      </c>
      <c r="E156">
        <v>5</v>
      </c>
      <c r="F156" s="10" t="str">
        <f>IF(final_data[[#This Row],[Total_applicants]]=0,"unknown","-")</f>
        <v>-</v>
      </c>
      <c r="G156" s="5">
        <v>270280</v>
      </c>
      <c r="H156" s="1" t="s">
        <v>43</v>
      </c>
      <c r="I156" s="1" t="s">
        <v>465</v>
      </c>
      <c r="J156">
        <v>10001</v>
      </c>
      <c r="K156" s="1" t="s">
        <v>469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 s="1" t="s">
        <v>83</v>
      </c>
      <c r="B157" s="1" t="s">
        <v>84</v>
      </c>
      <c r="C157" s="1" t="s">
        <v>106</v>
      </c>
      <c r="D157" s="1" t="s">
        <v>454</v>
      </c>
      <c r="E157">
        <v>0</v>
      </c>
      <c r="F157" s="10" t="str">
        <f>IF(final_data[[#This Row],[Total_applicants]]=0,"unknown","-")</f>
        <v>unknown</v>
      </c>
      <c r="G157" s="5">
        <v>270280</v>
      </c>
      <c r="H157" s="1" t="s">
        <v>43</v>
      </c>
      <c r="I157" s="1" t="s">
        <v>465</v>
      </c>
      <c r="J157">
        <v>10001</v>
      </c>
      <c r="K157" s="1" t="s">
        <v>469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 s="1" t="s">
        <v>83</v>
      </c>
      <c r="B158" s="1" t="s">
        <v>84</v>
      </c>
      <c r="C158" s="1" t="s">
        <v>89</v>
      </c>
      <c r="D158" s="1" t="s">
        <v>454</v>
      </c>
      <c r="E158">
        <v>36</v>
      </c>
      <c r="F158" s="10" t="str">
        <f>IF(final_data[[#This Row],[Total_applicants]]=0,"unknown","-")</f>
        <v>-</v>
      </c>
      <c r="G158" s="5">
        <v>270280</v>
      </c>
      <c r="H158" s="1" t="s">
        <v>43</v>
      </c>
      <c r="I158" s="1" t="s">
        <v>465</v>
      </c>
      <c r="J158">
        <v>10001</v>
      </c>
      <c r="K158" s="1" t="s">
        <v>469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 s="1" t="s">
        <v>83</v>
      </c>
      <c r="B159" s="1" t="s">
        <v>84</v>
      </c>
      <c r="C159" s="1" t="s">
        <v>110</v>
      </c>
      <c r="D159" s="1" t="s">
        <v>450</v>
      </c>
      <c r="E159">
        <v>0</v>
      </c>
      <c r="F159" s="10" t="str">
        <f>IF(final_data[[#This Row],[Total_applicants]]=0,"unknown","-")</f>
        <v>unknown</v>
      </c>
      <c r="G159" s="5">
        <v>270280</v>
      </c>
      <c r="H159" s="1" t="s">
        <v>43</v>
      </c>
      <c r="I159" s="1" t="s">
        <v>466</v>
      </c>
      <c r="J159">
        <v>10001</v>
      </c>
      <c r="K159" s="1" t="s">
        <v>469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 s="1" t="s">
        <v>83</v>
      </c>
      <c r="B160" s="1" t="s">
        <v>84</v>
      </c>
      <c r="C160" s="1" t="s">
        <v>92</v>
      </c>
      <c r="D160" s="1" t="s">
        <v>456</v>
      </c>
      <c r="E160">
        <v>7</v>
      </c>
      <c r="F160" s="10" t="str">
        <f>IF(final_data[[#This Row],[Total_applicants]]=0,"unknown","-")</f>
        <v>-</v>
      </c>
      <c r="G160" s="5">
        <v>270280</v>
      </c>
      <c r="H160" s="1" t="s">
        <v>43</v>
      </c>
      <c r="I160" s="1" t="s">
        <v>466</v>
      </c>
      <c r="J160">
        <v>10001</v>
      </c>
      <c r="K160" s="1" t="s">
        <v>469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1</v>
      </c>
    </row>
    <row r="161" spans="1:42" x14ac:dyDescent="0.25">
      <c r="A161" s="1" t="s">
        <v>83</v>
      </c>
      <c r="B161" s="1" t="s">
        <v>84</v>
      </c>
      <c r="C161" s="1" t="s">
        <v>106</v>
      </c>
      <c r="D161" s="1" t="s">
        <v>449</v>
      </c>
      <c r="E161">
        <v>7</v>
      </c>
      <c r="F161" s="10" t="str">
        <f>IF(final_data[[#This Row],[Total_applicants]]=0,"unknown","-")</f>
        <v>-</v>
      </c>
      <c r="G161" s="5">
        <v>270280</v>
      </c>
      <c r="H161" s="1" t="s">
        <v>43</v>
      </c>
      <c r="I161" s="1" t="s">
        <v>465</v>
      </c>
      <c r="J161">
        <v>10001</v>
      </c>
      <c r="K161" s="1" t="s">
        <v>469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 s="1" t="s">
        <v>83</v>
      </c>
      <c r="B162" s="1" t="s">
        <v>84</v>
      </c>
      <c r="C162" s="1" t="s">
        <v>106</v>
      </c>
      <c r="D162" s="1" t="s">
        <v>451</v>
      </c>
      <c r="E162">
        <v>5</v>
      </c>
      <c r="F162" s="10" t="str">
        <f>IF(final_data[[#This Row],[Total_applicants]]=0,"unknown","-")</f>
        <v>-</v>
      </c>
      <c r="G162" s="5">
        <v>270280</v>
      </c>
      <c r="H162" s="1" t="s">
        <v>43</v>
      </c>
      <c r="I162" s="1" t="s">
        <v>465</v>
      </c>
      <c r="J162">
        <v>10001</v>
      </c>
      <c r="K162" s="1" t="s">
        <v>469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 s="1" t="s">
        <v>83</v>
      </c>
      <c r="B163" s="1" t="s">
        <v>84</v>
      </c>
      <c r="C163" s="1" t="s">
        <v>111</v>
      </c>
      <c r="D163" s="1" t="s">
        <v>449</v>
      </c>
      <c r="E163">
        <v>3</v>
      </c>
      <c r="F163" s="10" t="str">
        <f>IF(final_data[[#This Row],[Total_applicants]]=0,"unknown","-")</f>
        <v>-</v>
      </c>
      <c r="G163" s="5">
        <v>270280</v>
      </c>
      <c r="H163" s="1" t="s">
        <v>43</v>
      </c>
      <c r="I163" s="1" t="s">
        <v>466</v>
      </c>
      <c r="J163">
        <v>10001</v>
      </c>
      <c r="K163" s="1" t="s">
        <v>469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 s="1" t="s">
        <v>83</v>
      </c>
      <c r="B164" s="1" t="s">
        <v>84</v>
      </c>
      <c r="C164" s="1" t="s">
        <v>99</v>
      </c>
      <c r="D164" s="1" t="s">
        <v>449</v>
      </c>
      <c r="E164">
        <v>17</v>
      </c>
      <c r="F164" s="10" t="str">
        <f>IF(final_data[[#This Row],[Total_applicants]]=0,"unknown","-")</f>
        <v>-</v>
      </c>
      <c r="G164" s="5">
        <v>270280</v>
      </c>
      <c r="H164" s="1" t="s">
        <v>43</v>
      </c>
      <c r="I164" s="1" t="s">
        <v>466</v>
      </c>
      <c r="J164">
        <v>10001</v>
      </c>
      <c r="K164" s="1" t="s">
        <v>469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 s="1" t="s">
        <v>83</v>
      </c>
      <c r="B165" s="1" t="s">
        <v>84</v>
      </c>
      <c r="C165" s="1" t="s">
        <v>112</v>
      </c>
      <c r="D165" s="1" t="s">
        <v>449</v>
      </c>
      <c r="E165">
        <v>3</v>
      </c>
      <c r="F165" s="10" t="str">
        <f>IF(final_data[[#This Row],[Total_applicants]]=0,"unknown","-")</f>
        <v>-</v>
      </c>
      <c r="G165" s="5">
        <v>270280</v>
      </c>
      <c r="H165" s="1" t="s">
        <v>43</v>
      </c>
      <c r="I165" s="1" t="s">
        <v>465</v>
      </c>
      <c r="J165">
        <v>10001</v>
      </c>
      <c r="K165" s="1" t="s">
        <v>469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 s="1" t="s">
        <v>83</v>
      </c>
      <c r="B166" s="1" t="s">
        <v>84</v>
      </c>
      <c r="C166" s="1" t="s">
        <v>113</v>
      </c>
      <c r="D166" s="1" t="s">
        <v>449</v>
      </c>
      <c r="E166">
        <v>4</v>
      </c>
      <c r="F166" s="10" t="str">
        <f>IF(final_data[[#This Row],[Total_applicants]]=0,"unknown","-")</f>
        <v>-</v>
      </c>
      <c r="G166" s="5">
        <v>270280</v>
      </c>
      <c r="H166" s="1" t="s">
        <v>43</v>
      </c>
      <c r="I166" s="1" t="s">
        <v>466</v>
      </c>
      <c r="J166">
        <v>10001</v>
      </c>
      <c r="K166" s="1" t="s">
        <v>469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 s="1" t="s">
        <v>83</v>
      </c>
      <c r="B167" s="1" t="s">
        <v>84</v>
      </c>
      <c r="C167" s="1" t="s">
        <v>110</v>
      </c>
      <c r="D167" s="1" t="s">
        <v>453</v>
      </c>
      <c r="E167">
        <v>2</v>
      </c>
      <c r="F167" s="10" t="str">
        <f>IF(final_data[[#This Row],[Total_applicants]]=0,"unknown","-")</f>
        <v>-</v>
      </c>
      <c r="G167" s="5">
        <v>270280</v>
      </c>
      <c r="H167" s="1" t="s">
        <v>43</v>
      </c>
      <c r="I167" s="1" t="s">
        <v>466</v>
      </c>
      <c r="J167">
        <v>10001</v>
      </c>
      <c r="K167" s="1" t="s">
        <v>469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 s="1" t="s">
        <v>83</v>
      </c>
      <c r="B168" s="1" t="s">
        <v>84</v>
      </c>
      <c r="C168" s="1" t="s">
        <v>114</v>
      </c>
      <c r="D168" s="1" t="s">
        <v>449</v>
      </c>
      <c r="E168">
        <v>3</v>
      </c>
      <c r="F168" s="10" t="str">
        <f>IF(final_data[[#This Row],[Total_applicants]]=0,"unknown","-")</f>
        <v>-</v>
      </c>
      <c r="G168" s="5">
        <v>270280</v>
      </c>
      <c r="H168" s="1" t="s">
        <v>43</v>
      </c>
      <c r="I168" s="1" t="s">
        <v>466</v>
      </c>
      <c r="J168">
        <v>10001</v>
      </c>
      <c r="K168" s="1" t="s">
        <v>469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 s="1" t="s">
        <v>83</v>
      </c>
      <c r="B169" s="1" t="s">
        <v>84</v>
      </c>
      <c r="C169" s="1" t="s">
        <v>115</v>
      </c>
      <c r="D169" s="1" t="s">
        <v>452</v>
      </c>
      <c r="E169">
        <v>8</v>
      </c>
      <c r="F169" s="10" t="str">
        <f>IF(final_data[[#This Row],[Total_applicants]]=0,"unknown","-")</f>
        <v>-</v>
      </c>
      <c r="G169" s="5">
        <v>270280</v>
      </c>
      <c r="H169" s="1" t="s">
        <v>43</v>
      </c>
      <c r="I169" s="1" t="s">
        <v>466</v>
      </c>
      <c r="J169">
        <v>10001</v>
      </c>
      <c r="K169" s="1" t="s">
        <v>469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 s="1" t="s">
        <v>83</v>
      </c>
      <c r="B170" s="1" t="s">
        <v>84</v>
      </c>
      <c r="C170" s="1" t="s">
        <v>116</v>
      </c>
      <c r="D170" s="1" t="s">
        <v>451</v>
      </c>
      <c r="E170">
        <v>12</v>
      </c>
      <c r="F170" s="10" t="str">
        <f>IF(final_data[[#This Row],[Total_applicants]]=0,"unknown","-")</f>
        <v>-</v>
      </c>
      <c r="G170" s="5">
        <v>270280</v>
      </c>
      <c r="H170" s="1" t="s">
        <v>43</v>
      </c>
      <c r="I170" s="1" t="s">
        <v>465</v>
      </c>
      <c r="J170">
        <v>10001</v>
      </c>
      <c r="K170" s="1" t="s">
        <v>469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 s="1" t="s">
        <v>83</v>
      </c>
      <c r="B171" s="1" t="s">
        <v>84</v>
      </c>
      <c r="C171" s="1" t="s">
        <v>116</v>
      </c>
      <c r="D171" s="1" t="s">
        <v>450</v>
      </c>
      <c r="E171">
        <v>2</v>
      </c>
      <c r="F171" s="10" t="str">
        <f>IF(final_data[[#This Row],[Total_applicants]]=0,"unknown","-")</f>
        <v>-</v>
      </c>
      <c r="G171" s="5">
        <v>270280</v>
      </c>
      <c r="H171" s="1" t="s">
        <v>43</v>
      </c>
      <c r="I171" s="1" t="s">
        <v>465</v>
      </c>
      <c r="J171">
        <v>10001</v>
      </c>
      <c r="K171" s="1" t="s">
        <v>469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 s="1" t="s">
        <v>83</v>
      </c>
      <c r="B172" s="1" t="s">
        <v>84</v>
      </c>
      <c r="C172" s="1" t="s">
        <v>110</v>
      </c>
      <c r="D172" s="1" t="s">
        <v>449</v>
      </c>
      <c r="E172">
        <v>16</v>
      </c>
      <c r="F172" s="10" t="str">
        <f>IF(final_data[[#This Row],[Total_applicants]]=0,"unknown","-")</f>
        <v>-</v>
      </c>
      <c r="G172" s="5">
        <v>270280</v>
      </c>
      <c r="H172" s="1" t="s">
        <v>43</v>
      </c>
      <c r="I172" s="1" t="s">
        <v>466</v>
      </c>
      <c r="J172">
        <v>10001</v>
      </c>
      <c r="K172" s="1" t="s">
        <v>469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 s="1" t="s">
        <v>83</v>
      </c>
      <c r="B173" s="1" t="s">
        <v>84</v>
      </c>
      <c r="C173" s="1" t="s">
        <v>115</v>
      </c>
      <c r="D173" s="1" t="s">
        <v>449</v>
      </c>
      <c r="E173">
        <v>3</v>
      </c>
      <c r="F173" s="10" t="str">
        <f>IF(final_data[[#This Row],[Total_applicants]]=0,"unknown","-")</f>
        <v>-</v>
      </c>
      <c r="G173" s="5">
        <v>270280</v>
      </c>
      <c r="H173" s="1" t="s">
        <v>43</v>
      </c>
      <c r="I173" s="1" t="s">
        <v>466</v>
      </c>
      <c r="J173">
        <v>10001</v>
      </c>
      <c r="K173" s="1" t="s">
        <v>469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 s="1" t="s">
        <v>83</v>
      </c>
      <c r="B174" s="1" t="s">
        <v>84</v>
      </c>
      <c r="C174" s="1" t="s">
        <v>117</v>
      </c>
      <c r="D174" s="1" t="s">
        <v>452</v>
      </c>
      <c r="E174">
        <v>2</v>
      </c>
      <c r="F174" s="10" t="str">
        <f>IF(final_data[[#This Row],[Total_applicants]]=0,"unknown","-")</f>
        <v>-</v>
      </c>
      <c r="G174" s="5">
        <v>270280</v>
      </c>
      <c r="H174" s="1" t="s">
        <v>43</v>
      </c>
      <c r="I174" s="1" t="s">
        <v>465</v>
      </c>
      <c r="J174">
        <v>10001</v>
      </c>
      <c r="K174" s="1" t="s">
        <v>469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 s="1" t="s">
        <v>83</v>
      </c>
      <c r="B175" s="1" t="s">
        <v>84</v>
      </c>
      <c r="C175" s="1" t="s">
        <v>118</v>
      </c>
      <c r="D175" s="1" t="s">
        <v>449</v>
      </c>
      <c r="E175">
        <v>3</v>
      </c>
      <c r="F175" s="10" t="str">
        <f>IF(final_data[[#This Row],[Total_applicants]]=0,"unknown","-")</f>
        <v>-</v>
      </c>
      <c r="G175" s="5">
        <v>270280</v>
      </c>
      <c r="H175" s="1" t="s">
        <v>43</v>
      </c>
      <c r="I175" s="1" t="s">
        <v>465</v>
      </c>
      <c r="J175">
        <v>10001</v>
      </c>
      <c r="K175" s="1" t="s">
        <v>469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 s="1" t="s">
        <v>83</v>
      </c>
      <c r="B176" s="1" t="s">
        <v>84</v>
      </c>
      <c r="C176" s="1" t="s">
        <v>110</v>
      </c>
      <c r="D176" s="1" t="s">
        <v>450</v>
      </c>
      <c r="E176">
        <v>0</v>
      </c>
      <c r="F176" s="10" t="str">
        <f>IF(final_data[[#This Row],[Total_applicants]]=0,"unknown","-")</f>
        <v>unknown</v>
      </c>
      <c r="G176" s="5">
        <v>270280</v>
      </c>
      <c r="H176" s="1" t="s">
        <v>43</v>
      </c>
      <c r="I176" s="1" t="s">
        <v>466</v>
      </c>
      <c r="J176">
        <v>10001</v>
      </c>
      <c r="K176" s="1" t="s">
        <v>469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 s="1" t="s">
        <v>83</v>
      </c>
      <c r="B177" s="1" t="s">
        <v>84</v>
      </c>
      <c r="C177" s="1" t="s">
        <v>110</v>
      </c>
      <c r="D177" s="1" t="s">
        <v>455</v>
      </c>
      <c r="E177">
        <v>0</v>
      </c>
      <c r="F177" s="10" t="str">
        <f>IF(final_data[[#This Row],[Total_applicants]]=0,"unknown","-")</f>
        <v>unknown</v>
      </c>
      <c r="G177" s="5">
        <v>270280</v>
      </c>
      <c r="H177" s="1" t="s">
        <v>43</v>
      </c>
      <c r="I177" s="1" t="s">
        <v>466</v>
      </c>
      <c r="J177">
        <v>10001</v>
      </c>
      <c r="K177" s="1" t="s">
        <v>469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 s="1" t="s">
        <v>83</v>
      </c>
      <c r="B178" s="1" t="s">
        <v>84</v>
      </c>
      <c r="C178" s="1" t="s">
        <v>119</v>
      </c>
      <c r="D178" s="1" t="s">
        <v>449</v>
      </c>
      <c r="E178">
        <v>8</v>
      </c>
      <c r="F178" s="10" t="str">
        <f>IF(final_data[[#This Row],[Total_applicants]]=0,"unknown","-")</f>
        <v>-</v>
      </c>
      <c r="G178" s="5">
        <v>270280</v>
      </c>
      <c r="H178" s="1" t="s">
        <v>43</v>
      </c>
      <c r="I178" s="1" t="s">
        <v>466</v>
      </c>
      <c r="J178">
        <v>10001</v>
      </c>
      <c r="K178" s="1" t="s">
        <v>469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 s="1" t="s">
        <v>83</v>
      </c>
      <c r="B179" s="1" t="s">
        <v>84</v>
      </c>
      <c r="C179" s="1" t="s">
        <v>120</v>
      </c>
      <c r="D179" s="1" t="s">
        <v>449</v>
      </c>
      <c r="E179">
        <v>4</v>
      </c>
      <c r="F179" s="10" t="str">
        <f>IF(final_data[[#This Row],[Total_applicants]]=0,"unknown","-")</f>
        <v>-</v>
      </c>
      <c r="G179" s="5">
        <v>270280</v>
      </c>
      <c r="H179" s="1" t="s">
        <v>43</v>
      </c>
      <c r="I179" s="1" t="s">
        <v>466</v>
      </c>
      <c r="J179">
        <v>10001</v>
      </c>
      <c r="K179" s="1" t="s">
        <v>469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 s="1" t="s">
        <v>83</v>
      </c>
      <c r="B180" s="1" t="s">
        <v>84</v>
      </c>
      <c r="C180" s="1" t="s">
        <v>121</v>
      </c>
      <c r="D180" s="1" t="s">
        <v>449</v>
      </c>
      <c r="E180">
        <v>0</v>
      </c>
      <c r="F180" s="10" t="str">
        <f>IF(final_data[[#This Row],[Total_applicants]]=0,"unknown","-")</f>
        <v>unknown</v>
      </c>
      <c r="G180" s="5">
        <v>270280</v>
      </c>
      <c r="H180" s="1" t="s">
        <v>43</v>
      </c>
      <c r="I180" s="1" t="s">
        <v>465</v>
      </c>
      <c r="J180">
        <v>10001</v>
      </c>
      <c r="K180" s="1" t="s">
        <v>469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 s="1" t="s">
        <v>83</v>
      </c>
      <c r="B181" s="1" t="s">
        <v>84</v>
      </c>
      <c r="C181" s="1" t="s">
        <v>122</v>
      </c>
      <c r="D181" s="1" t="s">
        <v>449</v>
      </c>
      <c r="E181">
        <v>15</v>
      </c>
      <c r="F181" s="10" t="str">
        <f>IF(final_data[[#This Row],[Total_applicants]]=0,"unknown","-")</f>
        <v>-</v>
      </c>
      <c r="G181" s="5">
        <v>270280</v>
      </c>
      <c r="H181" s="1" t="s">
        <v>43</v>
      </c>
      <c r="I181" s="1" t="s">
        <v>466</v>
      </c>
      <c r="J181">
        <v>10001</v>
      </c>
      <c r="K181" s="1" t="s">
        <v>469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 s="1" t="s">
        <v>83</v>
      </c>
      <c r="B182" s="1" t="s">
        <v>84</v>
      </c>
      <c r="C182" s="1" t="s">
        <v>109</v>
      </c>
      <c r="D182" s="1" t="s">
        <v>451</v>
      </c>
      <c r="E182">
        <v>2</v>
      </c>
      <c r="F182" s="10" t="str">
        <f>IF(final_data[[#This Row],[Total_applicants]]=0,"unknown","-")</f>
        <v>-</v>
      </c>
      <c r="G182" s="5">
        <v>270280</v>
      </c>
      <c r="H182" s="1" t="s">
        <v>43</v>
      </c>
      <c r="I182" s="1" t="s">
        <v>465</v>
      </c>
      <c r="J182">
        <v>10001</v>
      </c>
      <c r="K182" s="1" t="s">
        <v>469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 s="1" t="s">
        <v>83</v>
      </c>
      <c r="B183" s="1" t="s">
        <v>84</v>
      </c>
      <c r="C183" s="1" t="s">
        <v>109</v>
      </c>
      <c r="D183" s="1" t="s">
        <v>452</v>
      </c>
      <c r="E183">
        <v>4</v>
      </c>
      <c r="F183" s="10" t="str">
        <f>IF(final_data[[#This Row],[Total_applicants]]=0,"unknown","-")</f>
        <v>-</v>
      </c>
      <c r="G183" s="5">
        <v>270280</v>
      </c>
      <c r="H183" s="1" t="s">
        <v>43</v>
      </c>
      <c r="I183" s="1" t="s">
        <v>465</v>
      </c>
      <c r="J183">
        <v>10001</v>
      </c>
      <c r="K183" s="1" t="s">
        <v>469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 s="1" t="s">
        <v>83</v>
      </c>
      <c r="B184" s="1" t="s">
        <v>84</v>
      </c>
      <c r="C184" s="1" t="s">
        <v>109</v>
      </c>
      <c r="D184" s="1" t="s">
        <v>449</v>
      </c>
      <c r="E184">
        <v>0</v>
      </c>
      <c r="F184" s="10" t="str">
        <f>IF(final_data[[#This Row],[Total_applicants]]=0,"unknown","-")</f>
        <v>unknown</v>
      </c>
      <c r="G184" s="5">
        <v>270280</v>
      </c>
      <c r="H184" s="1" t="s">
        <v>43</v>
      </c>
      <c r="I184" s="1" t="s">
        <v>465</v>
      </c>
      <c r="J184">
        <v>10001</v>
      </c>
      <c r="K184" s="1" t="s">
        <v>469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</row>
    <row r="185" spans="1:42" x14ac:dyDescent="0.25">
      <c r="A185" s="1" t="s">
        <v>83</v>
      </c>
      <c r="B185" s="1" t="s">
        <v>84</v>
      </c>
      <c r="C185" s="1" t="s">
        <v>123</v>
      </c>
      <c r="D185" s="1" t="s">
        <v>449</v>
      </c>
      <c r="E185">
        <v>8</v>
      </c>
      <c r="F185" s="10" t="str">
        <f>IF(final_data[[#This Row],[Total_applicants]]=0,"unknown","-")</f>
        <v>-</v>
      </c>
      <c r="G185" s="5">
        <v>270280</v>
      </c>
      <c r="H185" s="1" t="s">
        <v>43</v>
      </c>
      <c r="I185" s="1" t="s">
        <v>466</v>
      </c>
      <c r="J185">
        <v>10001</v>
      </c>
      <c r="K185" s="1" t="s">
        <v>469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 s="1" t="s">
        <v>83</v>
      </c>
      <c r="B186" s="1" t="s">
        <v>84</v>
      </c>
      <c r="C186" s="1" t="s">
        <v>104</v>
      </c>
      <c r="D186" s="1" t="s">
        <v>454</v>
      </c>
      <c r="E186">
        <v>37</v>
      </c>
      <c r="F186" s="10" t="str">
        <f>IF(final_data[[#This Row],[Total_applicants]]=0,"unknown","-")</f>
        <v>-</v>
      </c>
      <c r="G186" s="5">
        <v>270280</v>
      </c>
      <c r="H186" s="1" t="s">
        <v>43</v>
      </c>
      <c r="I186" s="1" t="s">
        <v>465</v>
      </c>
      <c r="J186">
        <v>10001</v>
      </c>
      <c r="K186" s="1" t="s">
        <v>469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1</v>
      </c>
      <c r="AP186">
        <v>1</v>
      </c>
    </row>
    <row r="187" spans="1:42" x14ac:dyDescent="0.25">
      <c r="A187" s="1" t="s">
        <v>83</v>
      </c>
      <c r="B187" s="1" t="s">
        <v>84</v>
      </c>
      <c r="C187" s="1" t="s">
        <v>110</v>
      </c>
      <c r="D187" s="1" t="s">
        <v>450</v>
      </c>
      <c r="E187">
        <v>1</v>
      </c>
      <c r="F187" s="10" t="str">
        <f>IF(final_data[[#This Row],[Total_applicants]]=0,"unknown","-")</f>
        <v>-</v>
      </c>
      <c r="G187" s="5">
        <v>270280</v>
      </c>
      <c r="H187" s="1" t="s">
        <v>43</v>
      </c>
      <c r="I187" s="1" t="s">
        <v>466</v>
      </c>
      <c r="J187">
        <v>10001</v>
      </c>
      <c r="K187" s="1" t="s">
        <v>469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 s="1" t="s">
        <v>83</v>
      </c>
      <c r="B188" s="1" t="s">
        <v>84</v>
      </c>
      <c r="C188" s="1" t="s">
        <v>110</v>
      </c>
      <c r="D188" s="1" t="s">
        <v>456</v>
      </c>
      <c r="E188">
        <v>1</v>
      </c>
      <c r="F188" s="10" t="str">
        <f>IF(final_data[[#This Row],[Total_applicants]]=0,"unknown","-")</f>
        <v>-</v>
      </c>
      <c r="G188" s="5">
        <v>270280</v>
      </c>
      <c r="H188" s="1" t="s">
        <v>43</v>
      </c>
      <c r="I188" s="1" t="s">
        <v>466</v>
      </c>
      <c r="J188">
        <v>10001</v>
      </c>
      <c r="K188" s="1" t="s">
        <v>469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 s="1" t="s">
        <v>83</v>
      </c>
      <c r="B189" s="1" t="s">
        <v>84</v>
      </c>
      <c r="C189" s="1" t="s">
        <v>113</v>
      </c>
      <c r="D189" s="1" t="s">
        <v>449</v>
      </c>
      <c r="E189">
        <v>2</v>
      </c>
      <c r="F189" s="10" t="str">
        <f>IF(final_data[[#This Row],[Total_applicants]]=0,"unknown","-")</f>
        <v>-</v>
      </c>
      <c r="G189" s="5">
        <v>270280</v>
      </c>
      <c r="H189" s="1" t="s">
        <v>43</v>
      </c>
      <c r="I189" s="1" t="s">
        <v>466</v>
      </c>
      <c r="J189">
        <v>10001</v>
      </c>
      <c r="K189" s="1" t="s">
        <v>469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 s="1" t="s">
        <v>83</v>
      </c>
      <c r="B190" s="1" t="s">
        <v>84</v>
      </c>
      <c r="C190" s="1" t="s">
        <v>110</v>
      </c>
      <c r="D190" s="1" t="s">
        <v>455</v>
      </c>
      <c r="E190">
        <v>0</v>
      </c>
      <c r="F190" s="10" t="str">
        <f>IF(final_data[[#This Row],[Total_applicants]]=0,"unknown","-")</f>
        <v>unknown</v>
      </c>
      <c r="G190" s="5">
        <v>270280</v>
      </c>
      <c r="H190" s="1" t="s">
        <v>43</v>
      </c>
      <c r="I190" s="1" t="s">
        <v>466</v>
      </c>
      <c r="J190">
        <v>10001</v>
      </c>
      <c r="K190" s="1" t="s">
        <v>469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 s="1" t="s">
        <v>83</v>
      </c>
      <c r="B191" s="1" t="s">
        <v>84</v>
      </c>
      <c r="C191" s="1" t="s">
        <v>118</v>
      </c>
      <c r="D191" s="1" t="s">
        <v>452</v>
      </c>
      <c r="E191">
        <v>10</v>
      </c>
      <c r="F191" s="10" t="str">
        <f>IF(final_data[[#This Row],[Total_applicants]]=0,"unknown","-")</f>
        <v>-</v>
      </c>
      <c r="G191" s="5">
        <v>270280</v>
      </c>
      <c r="H191" s="1" t="s">
        <v>43</v>
      </c>
      <c r="I191" s="1" t="s">
        <v>465</v>
      </c>
      <c r="J191">
        <v>10001</v>
      </c>
      <c r="K191" s="1" t="s">
        <v>469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1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 s="1" t="s">
        <v>83</v>
      </c>
      <c r="B192" s="1" t="s">
        <v>84</v>
      </c>
      <c r="C192" s="1" t="s">
        <v>115</v>
      </c>
      <c r="D192" s="1" t="s">
        <v>449</v>
      </c>
      <c r="E192">
        <v>13</v>
      </c>
      <c r="F192" s="10" t="str">
        <f>IF(final_data[[#This Row],[Total_applicants]]=0,"unknown","-")</f>
        <v>-</v>
      </c>
      <c r="G192" s="5">
        <v>270280</v>
      </c>
      <c r="H192" s="1" t="s">
        <v>43</v>
      </c>
      <c r="I192" s="1" t="s">
        <v>466</v>
      </c>
      <c r="J192">
        <v>10001</v>
      </c>
      <c r="K192" s="1" t="s">
        <v>469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 s="1" t="s">
        <v>83</v>
      </c>
      <c r="B193" s="1" t="s">
        <v>84</v>
      </c>
      <c r="C193" s="1" t="s">
        <v>117</v>
      </c>
      <c r="D193" s="1" t="s">
        <v>449</v>
      </c>
      <c r="E193">
        <v>4</v>
      </c>
      <c r="F193" s="10" t="str">
        <f>IF(final_data[[#This Row],[Total_applicants]]=0,"unknown","-")</f>
        <v>-</v>
      </c>
      <c r="G193" s="5">
        <v>270280</v>
      </c>
      <c r="H193" s="1" t="s">
        <v>43</v>
      </c>
      <c r="I193" s="1" t="s">
        <v>465</v>
      </c>
      <c r="J193">
        <v>10001</v>
      </c>
      <c r="K193" s="1" t="s">
        <v>469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1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</row>
    <row r="194" spans="1:42" x14ac:dyDescent="0.25">
      <c r="A194" s="1" t="s">
        <v>83</v>
      </c>
      <c r="B194" s="1" t="s">
        <v>84</v>
      </c>
      <c r="C194" s="1" t="s">
        <v>124</v>
      </c>
      <c r="D194" s="1" t="s">
        <v>449</v>
      </c>
      <c r="E194">
        <v>7</v>
      </c>
      <c r="F194" s="10" t="str">
        <f>IF(final_data[[#This Row],[Total_applicants]]=0,"unknown","-")</f>
        <v>-</v>
      </c>
      <c r="G194" s="5">
        <v>270280</v>
      </c>
      <c r="H194" s="1" t="s">
        <v>43</v>
      </c>
      <c r="I194" s="1" t="s">
        <v>466</v>
      </c>
      <c r="J194">
        <v>10001</v>
      </c>
      <c r="K194" s="1" t="s">
        <v>469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 s="1" t="s">
        <v>83</v>
      </c>
      <c r="B195" s="1" t="s">
        <v>84</v>
      </c>
      <c r="C195" s="1" t="s">
        <v>125</v>
      </c>
      <c r="D195" s="1" t="s">
        <v>451</v>
      </c>
      <c r="E195">
        <v>6</v>
      </c>
      <c r="F195" s="10" t="str">
        <f>IF(final_data[[#This Row],[Total_applicants]]=0,"unknown","-")</f>
        <v>-</v>
      </c>
      <c r="G195" s="5">
        <v>270280</v>
      </c>
      <c r="H195" s="1" t="s">
        <v>43</v>
      </c>
      <c r="I195" s="1" t="s">
        <v>466</v>
      </c>
      <c r="J195">
        <v>10001</v>
      </c>
      <c r="K195" s="1" t="s">
        <v>469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 s="1" t="s">
        <v>83</v>
      </c>
      <c r="B196" s="1" t="s">
        <v>84</v>
      </c>
      <c r="C196" s="1" t="s">
        <v>110</v>
      </c>
      <c r="D196" s="1" t="s">
        <v>453</v>
      </c>
      <c r="E196">
        <v>0</v>
      </c>
      <c r="F196" s="10" t="str">
        <f>IF(final_data[[#This Row],[Total_applicants]]=0,"unknown","-")</f>
        <v>unknown</v>
      </c>
      <c r="G196" s="5">
        <v>270280</v>
      </c>
      <c r="H196" s="1" t="s">
        <v>43</v>
      </c>
      <c r="I196" s="1" t="s">
        <v>466</v>
      </c>
      <c r="J196">
        <v>10001</v>
      </c>
      <c r="K196" s="1" t="s">
        <v>469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 s="1" t="s">
        <v>83</v>
      </c>
      <c r="B197" s="1" t="s">
        <v>84</v>
      </c>
      <c r="C197" s="1" t="s">
        <v>126</v>
      </c>
      <c r="D197" s="1" t="s">
        <v>455</v>
      </c>
      <c r="E197">
        <v>1</v>
      </c>
      <c r="F197" s="10" t="str">
        <f>IF(final_data[[#This Row],[Total_applicants]]=0,"unknown","-")</f>
        <v>-</v>
      </c>
      <c r="G197" s="5">
        <v>270280</v>
      </c>
      <c r="H197" s="1" t="s">
        <v>43</v>
      </c>
      <c r="I197" s="1" t="s">
        <v>466</v>
      </c>
      <c r="J197">
        <v>10001</v>
      </c>
      <c r="K197" s="1" t="s">
        <v>469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 s="1" t="s">
        <v>83</v>
      </c>
      <c r="B198" s="1" t="s">
        <v>84</v>
      </c>
      <c r="C198" s="1" t="s">
        <v>92</v>
      </c>
      <c r="D198" s="1" t="s">
        <v>454</v>
      </c>
      <c r="E198">
        <v>0</v>
      </c>
      <c r="F198" s="10" t="str">
        <f>IF(final_data[[#This Row],[Total_applicants]]=0,"unknown","-")</f>
        <v>unknown</v>
      </c>
      <c r="G198" s="5">
        <v>270280</v>
      </c>
      <c r="H198" s="1" t="s">
        <v>43</v>
      </c>
      <c r="I198" s="1" t="s">
        <v>466</v>
      </c>
      <c r="J198">
        <v>10001</v>
      </c>
      <c r="K198" s="1" t="s">
        <v>469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 s="1" t="s">
        <v>83</v>
      </c>
      <c r="B199" s="1" t="s">
        <v>84</v>
      </c>
      <c r="C199" s="1" t="s">
        <v>104</v>
      </c>
      <c r="D199" s="1" t="s">
        <v>449</v>
      </c>
      <c r="E199">
        <v>34</v>
      </c>
      <c r="F199" s="10" t="str">
        <f>IF(final_data[[#This Row],[Total_applicants]]=0,"unknown","-")</f>
        <v>-</v>
      </c>
      <c r="G199" s="5">
        <v>270280</v>
      </c>
      <c r="H199" s="1" t="s">
        <v>43</v>
      </c>
      <c r="I199" s="1" t="s">
        <v>465</v>
      </c>
      <c r="J199">
        <v>10001</v>
      </c>
      <c r="K199" s="1" t="s">
        <v>469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1</v>
      </c>
      <c r="AP199">
        <v>1</v>
      </c>
    </row>
    <row r="200" spans="1:42" x14ac:dyDescent="0.25">
      <c r="A200" s="1" t="s">
        <v>83</v>
      </c>
      <c r="B200" s="1" t="s">
        <v>84</v>
      </c>
      <c r="C200" s="1" t="s">
        <v>104</v>
      </c>
      <c r="D200" s="1" t="s">
        <v>452</v>
      </c>
      <c r="E200">
        <v>34</v>
      </c>
      <c r="F200" s="10" t="str">
        <f>IF(final_data[[#This Row],[Total_applicants]]=0,"unknown","-")</f>
        <v>-</v>
      </c>
      <c r="G200" s="5">
        <v>270280</v>
      </c>
      <c r="H200" s="1" t="s">
        <v>43</v>
      </c>
      <c r="I200" s="1" t="s">
        <v>465</v>
      </c>
      <c r="J200">
        <v>10001</v>
      </c>
      <c r="K200" s="1" t="s">
        <v>469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1</v>
      </c>
      <c r="AP200">
        <v>1</v>
      </c>
    </row>
    <row r="201" spans="1:42" x14ac:dyDescent="0.25">
      <c r="A201" s="1" t="s">
        <v>83</v>
      </c>
      <c r="B201" s="1" t="s">
        <v>84</v>
      </c>
      <c r="C201" s="1" t="s">
        <v>116</v>
      </c>
      <c r="D201" s="1" t="s">
        <v>449</v>
      </c>
      <c r="E201">
        <v>10</v>
      </c>
      <c r="F201" s="10" t="str">
        <f>IF(final_data[[#This Row],[Total_applicants]]=0,"unknown","-")</f>
        <v>-</v>
      </c>
      <c r="G201" s="5">
        <v>270280</v>
      </c>
      <c r="H201" s="1" t="s">
        <v>43</v>
      </c>
      <c r="I201" s="1" t="s">
        <v>465</v>
      </c>
      <c r="J201">
        <v>10001</v>
      </c>
      <c r="K201" s="1" t="s">
        <v>469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 s="1" t="s">
        <v>83</v>
      </c>
      <c r="B202" s="1" t="s">
        <v>84</v>
      </c>
      <c r="C202" s="1" t="s">
        <v>116</v>
      </c>
      <c r="D202" s="1" t="s">
        <v>449</v>
      </c>
      <c r="E202">
        <v>11</v>
      </c>
      <c r="F202" s="10" t="str">
        <f>IF(final_data[[#This Row],[Total_applicants]]=0,"unknown","-")</f>
        <v>-</v>
      </c>
      <c r="G202" s="5">
        <v>270280</v>
      </c>
      <c r="H202" s="1" t="s">
        <v>43</v>
      </c>
      <c r="I202" s="1" t="s">
        <v>465</v>
      </c>
      <c r="J202">
        <v>10001</v>
      </c>
      <c r="K202" s="1" t="s">
        <v>469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 s="1" t="s">
        <v>83</v>
      </c>
      <c r="B203" s="1" t="s">
        <v>84</v>
      </c>
      <c r="C203" s="1" t="s">
        <v>127</v>
      </c>
      <c r="D203" s="1" t="s">
        <v>449</v>
      </c>
      <c r="E203">
        <v>2</v>
      </c>
      <c r="F203" s="10" t="str">
        <f>IF(final_data[[#This Row],[Total_applicants]]=0,"unknown","-")</f>
        <v>-</v>
      </c>
      <c r="G203" s="5">
        <v>270280</v>
      </c>
      <c r="H203" s="1" t="s">
        <v>43</v>
      </c>
      <c r="I203" s="1" t="s">
        <v>465</v>
      </c>
      <c r="J203">
        <v>10001</v>
      </c>
      <c r="K203" s="1" t="s">
        <v>469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 s="1" t="s">
        <v>83</v>
      </c>
      <c r="B204" s="1" t="s">
        <v>84</v>
      </c>
      <c r="C204" s="1" t="s">
        <v>127</v>
      </c>
      <c r="D204" s="1" t="s">
        <v>449</v>
      </c>
      <c r="E204">
        <v>1</v>
      </c>
      <c r="F204" s="10" t="str">
        <f>IF(final_data[[#This Row],[Total_applicants]]=0,"unknown","-")</f>
        <v>-</v>
      </c>
      <c r="G204" s="5">
        <v>270280</v>
      </c>
      <c r="H204" s="1" t="s">
        <v>43</v>
      </c>
      <c r="I204" s="1" t="s">
        <v>465</v>
      </c>
      <c r="J204">
        <v>10001</v>
      </c>
      <c r="K204" s="1" t="s">
        <v>469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 s="1" t="s">
        <v>83</v>
      </c>
      <c r="B205" s="1" t="s">
        <v>84</v>
      </c>
      <c r="C205" s="1" t="s">
        <v>110</v>
      </c>
      <c r="D205" s="1" t="s">
        <v>449</v>
      </c>
      <c r="E205">
        <v>0</v>
      </c>
      <c r="F205" s="10" t="str">
        <f>IF(final_data[[#This Row],[Total_applicants]]=0,"unknown","-")</f>
        <v>unknown</v>
      </c>
      <c r="G205" s="5">
        <v>270280</v>
      </c>
      <c r="H205" s="1" t="s">
        <v>43</v>
      </c>
      <c r="I205" s="1" t="s">
        <v>466</v>
      </c>
      <c r="J205">
        <v>10001</v>
      </c>
      <c r="K205" s="1" t="s">
        <v>469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 s="1" t="s">
        <v>83</v>
      </c>
      <c r="B206" s="1" t="s">
        <v>84</v>
      </c>
      <c r="C206" s="1" t="s">
        <v>128</v>
      </c>
      <c r="D206" s="1" t="s">
        <v>449</v>
      </c>
      <c r="E206">
        <v>0</v>
      </c>
      <c r="F206" s="10" t="str">
        <f>IF(final_data[[#This Row],[Total_applicants]]=0,"unknown","-")</f>
        <v>unknown</v>
      </c>
      <c r="G206" s="5">
        <v>270280</v>
      </c>
      <c r="H206" s="1" t="s">
        <v>43</v>
      </c>
      <c r="I206" s="1" t="s">
        <v>465</v>
      </c>
      <c r="J206">
        <v>10001</v>
      </c>
      <c r="K206" s="1" t="s">
        <v>469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 s="1" t="s">
        <v>83</v>
      </c>
      <c r="B207" s="1" t="s">
        <v>84</v>
      </c>
      <c r="C207" s="1" t="s">
        <v>129</v>
      </c>
      <c r="D207" s="1" t="s">
        <v>449</v>
      </c>
      <c r="E207">
        <v>9</v>
      </c>
      <c r="F207" s="10" t="str">
        <f>IF(final_data[[#This Row],[Total_applicants]]=0,"unknown","-")</f>
        <v>-</v>
      </c>
      <c r="G207" s="5">
        <v>270280</v>
      </c>
      <c r="H207" s="1" t="s">
        <v>43</v>
      </c>
      <c r="I207" s="1" t="s">
        <v>466</v>
      </c>
      <c r="J207">
        <v>10001</v>
      </c>
      <c r="K207" s="1" t="s">
        <v>469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 s="1" t="s">
        <v>83</v>
      </c>
      <c r="B208" s="1" t="s">
        <v>84</v>
      </c>
      <c r="C208" s="1" t="s">
        <v>122</v>
      </c>
      <c r="D208" s="1" t="s">
        <v>452</v>
      </c>
      <c r="E208">
        <v>0</v>
      </c>
      <c r="F208" s="10" t="str">
        <f>IF(final_data[[#This Row],[Total_applicants]]=0,"unknown","-")</f>
        <v>unknown</v>
      </c>
      <c r="G208" s="5">
        <v>270280</v>
      </c>
      <c r="H208" s="1" t="s">
        <v>43</v>
      </c>
      <c r="I208" s="1" t="s">
        <v>466</v>
      </c>
      <c r="J208">
        <v>10001</v>
      </c>
      <c r="K208" s="1" t="s">
        <v>469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 s="1" t="s">
        <v>83</v>
      </c>
      <c r="B209" s="1" t="s">
        <v>84</v>
      </c>
      <c r="C209" s="1" t="s">
        <v>115</v>
      </c>
      <c r="D209" s="1" t="s">
        <v>456</v>
      </c>
      <c r="E209">
        <v>12</v>
      </c>
      <c r="F209" s="10" t="str">
        <f>IF(final_data[[#This Row],[Total_applicants]]=0,"unknown","-")</f>
        <v>-</v>
      </c>
      <c r="G209" s="5">
        <v>270280</v>
      </c>
      <c r="H209" s="1" t="s">
        <v>43</v>
      </c>
      <c r="I209" s="1" t="s">
        <v>466</v>
      </c>
      <c r="J209">
        <v>10001</v>
      </c>
      <c r="K209" s="1" t="s">
        <v>469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 s="1" t="s">
        <v>83</v>
      </c>
      <c r="B210" s="1" t="s">
        <v>84</v>
      </c>
      <c r="C210" s="1" t="s">
        <v>121</v>
      </c>
      <c r="D210" s="1" t="s">
        <v>449</v>
      </c>
      <c r="E210">
        <v>2</v>
      </c>
      <c r="F210" s="10" t="str">
        <f>IF(final_data[[#This Row],[Total_applicants]]=0,"unknown","-")</f>
        <v>-</v>
      </c>
      <c r="G210" s="5">
        <v>270280</v>
      </c>
      <c r="H210" s="1" t="s">
        <v>43</v>
      </c>
      <c r="I210" s="1" t="s">
        <v>465</v>
      </c>
      <c r="J210">
        <v>10001</v>
      </c>
      <c r="K210" s="1" t="s">
        <v>469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 s="1" t="s">
        <v>83</v>
      </c>
      <c r="B211" s="1" t="s">
        <v>84</v>
      </c>
      <c r="C211" s="1" t="s">
        <v>130</v>
      </c>
      <c r="D211" s="1" t="s">
        <v>454</v>
      </c>
      <c r="E211">
        <v>4</v>
      </c>
      <c r="F211" s="10" t="str">
        <f>IF(final_data[[#This Row],[Total_applicants]]=0,"unknown","-")</f>
        <v>-</v>
      </c>
      <c r="G211" s="5">
        <v>270280</v>
      </c>
      <c r="H211" s="1" t="s">
        <v>43</v>
      </c>
      <c r="I211" s="1" t="s">
        <v>465</v>
      </c>
      <c r="J211">
        <v>10001</v>
      </c>
      <c r="K211" s="1" t="s">
        <v>469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 s="1" t="s">
        <v>83</v>
      </c>
      <c r="B212" s="1" t="s">
        <v>84</v>
      </c>
      <c r="C212" s="1" t="s">
        <v>130</v>
      </c>
      <c r="D212" s="1" t="s">
        <v>450</v>
      </c>
      <c r="E212">
        <v>2</v>
      </c>
      <c r="F212" s="10" t="str">
        <f>IF(final_data[[#This Row],[Total_applicants]]=0,"unknown","-")</f>
        <v>-</v>
      </c>
      <c r="G212" s="5">
        <v>270280</v>
      </c>
      <c r="H212" s="1" t="s">
        <v>43</v>
      </c>
      <c r="I212" s="1" t="s">
        <v>465</v>
      </c>
      <c r="J212">
        <v>10001</v>
      </c>
      <c r="K212" s="1" t="s">
        <v>469</v>
      </c>
      <c r="L212">
        <v>1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 s="1" t="s">
        <v>83</v>
      </c>
      <c r="B213" s="1" t="s">
        <v>84</v>
      </c>
      <c r="C213" s="1" t="s">
        <v>128</v>
      </c>
      <c r="D213" s="1" t="s">
        <v>454</v>
      </c>
      <c r="E213">
        <v>3</v>
      </c>
      <c r="F213" s="10" t="str">
        <f>IF(final_data[[#This Row],[Total_applicants]]=0,"unknown","-")</f>
        <v>-</v>
      </c>
      <c r="G213" s="5">
        <v>270280</v>
      </c>
      <c r="H213" s="1" t="s">
        <v>43</v>
      </c>
      <c r="I213" s="1" t="s">
        <v>465</v>
      </c>
      <c r="J213">
        <v>10001</v>
      </c>
      <c r="K213" s="1" t="s">
        <v>469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 s="1" t="s">
        <v>83</v>
      </c>
      <c r="B214" s="1" t="s">
        <v>84</v>
      </c>
      <c r="C214" s="1" t="s">
        <v>122</v>
      </c>
      <c r="D214" s="1" t="s">
        <v>451</v>
      </c>
      <c r="E214">
        <v>5</v>
      </c>
      <c r="F214" s="10" t="str">
        <f>IF(final_data[[#This Row],[Total_applicants]]=0,"unknown","-")</f>
        <v>-</v>
      </c>
      <c r="G214" s="5">
        <v>270280</v>
      </c>
      <c r="H214" s="1" t="s">
        <v>43</v>
      </c>
      <c r="I214" s="1" t="s">
        <v>466</v>
      </c>
      <c r="J214">
        <v>10001</v>
      </c>
      <c r="K214" s="1" t="s">
        <v>469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 s="1" t="s">
        <v>83</v>
      </c>
      <c r="B215" s="1" t="s">
        <v>84</v>
      </c>
      <c r="C215" s="1" t="s">
        <v>121</v>
      </c>
      <c r="D215" s="1" t="s">
        <v>452</v>
      </c>
      <c r="E215">
        <v>1</v>
      </c>
      <c r="F215" s="10" t="str">
        <f>IF(final_data[[#This Row],[Total_applicants]]=0,"unknown","-")</f>
        <v>-</v>
      </c>
      <c r="G215" s="5">
        <v>270280</v>
      </c>
      <c r="H215" s="1" t="s">
        <v>43</v>
      </c>
      <c r="I215" s="1" t="s">
        <v>465</v>
      </c>
      <c r="J215">
        <v>10001</v>
      </c>
      <c r="K215" s="1" t="s">
        <v>469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 s="1" t="s">
        <v>83</v>
      </c>
      <c r="B216" s="1" t="s">
        <v>84</v>
      </c>
      <c r="C216" s="1" t="s">
        <v>131</v>
      </c>
      <c r="D216" s="1" t="s">
        <v>449</v>
      </c>
      <c r="E216">
        <v>0</v>
      </c>
      <c r="F216" s="10" t="str">
        <f>IF(final_data[[#This Row],[Total_applicants]]=0,"unknown","-")</f>
        <v>unknown</v>
      </c>
      <c r="G216" s="5">
        <v>270280</v>
      </c>
      <c r="H216" s="1" t="s">
        <v>43</v>
      </c>
      <c r="I216" s="1" t="s">
        <v>465</v>
      </c>
      <c r="J216">
        <v>10001</v>
      </c>
      <c r="K216" s="1" t="s">
        <v>469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 s="1" t="s">
        <v>83</v>
      </c>
      <c r="B217" s="1" t="s">
        <v>84</v>
      </c>
      <c r="C217" s="1" t="s">
        <v>131</v>
      </c>
      <c r="D217" s="1" t="s">
        <v>453</v>
      </c>
      <c r="E217">
        <v>0</v>
      </c>
      <c r="F217" s="10" t="str">
        <f>IF(final_data[[#This Row],[Total_applicants]]=0,"unknown","-")</f>
        <v>unknown</v>
      </c>
      <c r="G217" s="5">
        <v>270280</v>
      </c>
      <c r="H217" s="1" t="s">
        <v>43</v>
      </c>
      <c r="I217" s="1" t="s">
        <v>465</v>
      </c>
      <c r="J217">
        <v>10001</v>
      </c>
      <c r="K217" s="1" t="s">
        <v>469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 s="1" t="s">
        <v>83</v>
      </c>
      <c r="B218" s="1" t="s">
        <v>84</v>
      </c>
      <c r="C218" s="1" t="s">
        <v>132</v>
      </c>
      <c r="D218" s="1" t="s">
        <v>450</v>
      </c>
      <c r="E218">
        <v>3</v>
      </c>
      <c r="F218" s="10" t="str">
        <f>IF(final_data[[#This Row],[Total_applicants]]=0,"unknown","-")</f>
        <v>-</v>
      </c>
      <c r="G218" s="5">
        <v>270280</v>
      </c>
      <c r="H218" s="1" t="s">
        <v>43</v>
      </c>
      <c r="I218" s="1" t="s">
        <v>465</v>
      </c>
      <c r="J218">
        <v>10001</v>
      </c>
      <c r="K218" s="1" t="s">
        <v>469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</row>
    <row r="219" spans="1:42" x14ac:dyDescent="0.25">
      <c r="A219" s="1" t="s">
        <v>83</v>
      </c>
      <c r="B219" s="1" t="s">
        <v>84</v>
      </c>
      <c r="C219" s="1" t="s">
        <v>110</v>
      </c>
      <c r="D219" s="1" t="s">
        <v>456</v>
      </c>
      <c r="E219">
        <v>0</v>
      </c>
      <c r="F219" s="10" t="str">
        <f>IF(final_data[[#This Row],[Total_applicants]]=0,"unknown","-")</f>
        <v>unknown</v>
      </c>
      <c r="G219" s="5">
        <v>270280</v>
      </c>
      <c r="H219" s="1" t="s">
        <v>43</v>
      </c>
      <c r="I219" s="1" t="s">
        <v>466</v>
      </c>
      <c r="J219">
        <v>10001</v>
      </c>
      <c r="K219" s="1" t="s">
        <v>469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 s="1" t="s">
        <v>83</v>
      </c>
      <c r="B220" s="1" t="s">
        <v>84</v>
      </c>
      <c r="C220" s="1" t="s">
        <v>126</v>
      </c>
      <c r="D220" s="1" t="s">
        <v>451</v>
      </c>
      <c r="E220">
        <v>2</v>
      </c>
      <c r="F220" s="10" t="str">
        <f>IF(final_data[[#This Row],[Total_applicants]]=0,"unknown","-")</f>
        <v>-</v>
      </c>
      <c r="G220" s="5">
        <v>270280</v>
      </c>
      <c r="H220" s="1" t="s">
        <v>43</v>
      </c>
      <c r="I220" s="1" t="s">
        <v>466</v>
      </c>
      <c r="J220">
        <v>10001</v>
      </c>
      <c r="K220" s="1" t="s">
        <v>469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 s="1" t="s">
        <v>83</v>
      </c>
      <c r="B221" s="1" t="s">
        <v>84</v>
      </c>
      <c r="C221" s="1" t="s">
        <v>126</v>
      </c>
      <c r="D221" s="1" t="s">
        <v>456</v>
      </c>
      <c r="E221">
        <v>2</v>
      </c>
      <c r="F221" s="10" t="str">
        <f>IF(final_data[[#This Row],[Total_applicants]]=0,"unknown","-")</f>
        <v>-</v>
      </c>
      <c r="G221" s="5">
        <v>270280</v>
      </c>
      <c r="H221" s="1" t="s">
        <v>43</v>
      </c>
      <c r="I221" s="1" t="s">
        <v>466</v>
      </c>
      <c r="J221">
        <v>10001</v>
      </c>
      <c r="K221" s="1" t="s">
        <v>469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 s="1" t="s">
        <v>83</v>
      </c>
      <c r="B222" s="1" t="s">
        <v>84</v>
      </c>
      <c r="C222" s="1" t="s">
        <v>126</v>
      </c>
      <c r="D222" s="1" t="s">
        <v>450</v>
      </c>
      <c r="E222">
        <v>3</v>
      </c>
      <c r="F222" s="10" t="str">
        <f>IF(final_data[[#This Row],[Total_applicants]]=0,"unknown","-")</f>
        <v>-</v>
      </c>
      <c r="G222" s="5">
        <v>270280</v>
      </c>
      <c r="H222" s="1" t="s">
        <v>43</v>
      </c>
      <c r="I222" s="1" t="s">
        <v>466</v>
      </c>
      <c r="J222">
        <v>10001</v>
      </c>
      <c r="K222" s="1" t="s">
        <v>469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 s="1" t="s">
        <v>83</v>
      </c>
      <c r="B223" s="1" t="s">
        <v>84</v>
      </c>
      <c r="C223" s="1" t="s">
        <v>133</v>
      </c>
      <c r="D223" s="1" t="s">
        <v>456</v>
      </c>
      <c r="E223">
        <v>3</v>
      </c>
      <c r="F223" s="10" t="str">
        <f>IF(final_data[[#This Row],[Total_applicants]]=0,"unknown","-")</f>
        <v>-</v>
      </c>
      <c r="G223" s="5">
        <v>270280</v>
      </c>
      <c r="H223" s="1" t="s">
        <v>43</v>
      </c>
      <c r="I223" s="1" t="s">
        <v>466</v>
      </c>
      <c r="J223">
        <v>10001</v>
      </c>
      <c r="K223" s="1" t="s">
        <v>469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 s="1" t="s">
        <v>83</v>
      </c>
      <c r="B224" s="1" t="s">
        <v>84</v>
      </c>
      <c r="C224" s="1" t="s">
        <v>109</v>
      </c>
      <c r="D224" s="1" t="s">
        <v>456</v>
      </c>
      <c r="E224">
        <v>0</v>
      </c>
      <c r="F224" s="10" t="str">
        <f>IF(final_data[[#This Row],[Total_applicants]]=0,"unknown","-")</f>
        <v>unknown</v>
      </c>
      <c r="G224" s="5">
        <v>270280</v>
      </c>
      <c r="H224" s="1" t="s">
        <v>43</v>
      </c>
      <c r="I224" s="1" t="s">
        <v>465</v>
      </c>
      <c r="J224">
        <v>10001</v>
      </c>
      <c r="K224" s="1" t="s">
        <v>469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</row>
    <row r="225" spans="1:42" x14ac:dyDescent="0.25">
      <c r="A225" s="1" t="s">
        <v>83</v>
      </c>
      <c r="B225" s="1" t="s">
        <v>84</v>
      </c>
      <c r="C225" s="1" t="s">
        <v>110</v>
      </c>
      <c r="D225" s="1" t="s">
        <v>453</v>
      </c>
      <c r="E225">
        <v>0</v>
      </c>
      <c r="F225" s="10" t="str">
        <f>IF(final_data[[#This Row],[Total_applicants]]=0,"unknown","-")</f>
        <v>unknown</v>
      </c>
      <c r="G225" s="5">
        <v>270280</v>
      </c>
      <c r="H225" s="1" t="s">
        <v>43</v>
      </c>
      <c r="I225" s="1" t="s">
        <v>466</v>
      </c>
      <c r="J225">
        <v>10001</v>
      </c>
      <c r="K225" s="1" t="s">
        <v>469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 s="1" t="s">
        <v>83</v>
      </c>
      <c r="B226" s="1" t="s">
        <v>84</v>
      </c>
      <c r="C226" s="1" t="s">
        <v>90</v>
      </c>
      <c r="D226" s="1" t="s">
        <v>450</v>
      </c>
      <c r="E226">
        <v>45</v>
      </c>
      <c r="F226" s="10" t="str">
        <f>IF(final_data[[#This Row],[Total_applicants]]=0,"unknown","-")</f>
        <v>-</v>
      </c>
      <c r="G226" s="5">
        <v>270280</v>
      </c>
      <c r="H226" s="1" t="s">
        <v>43</v>
      </c>
      <c r="I226" s="1" t="s">
        <v>465</v>
      </c>
      <c r="J226">
        <v>10001</v>
      </c>
      <c r="K226" s="1" t="s">
        <v>469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 s="1" t="s">
        <v>83</v>
      </c>
      <c r="B227" s="1" t="s">
        <v>84</v>
      </c>
      <c r="C227" s="1" t="s">
        <v>110</v>
      </c>
      <c r="D227" s="1" t="s">
        <v>452</v>
      </c>
      <c r="E227">
        <v>0</v>
      </c>
      <c r="F227" s="10" t="str">
        <f>IF(final_data[[#This Row],[Total_applicants]]=0,"unknown","-")</f>
        <v>unknown</v>
      </c>
      <c r="G227" s="5">
        <v>270280</v>
      </c>
      <c r="H227" s="1" t="s">
        <v>43</v>
      </c>
      <c r="I227" s="1" t="s">
        <v>466</v>
      </c>
      <c r="J227">
        <v>10001</v>
      </c>
      <c r="K227" s="1" t="s">
        <v>469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 s="1" t="s">
        <v>83</v>
      </c>
      <c r="B228" s="1" t="s">
        <v>84</v>
      </c>
      <c r="C228" s="1" t="s">
        <v>109</v>
      </c>
      <c r="D228" s="1" t="s">
        <v>450</v>
      </c>
      <c r="E228">
        <v>0</v>
      </c>
      <c r="F228" s="10" t="str">
        <f>IF(final_data[[#This Row],[Total_applicants]]=0,"unknown","-")</f>
        <v>unknown</v>
      </c>
      <c r="G228" s="5">
        <v>270280</v>
      </c>
      <c r="H228" s="1" t="s">
        <v>43</v>
      </c>
      <c r="I228" s="1" t="s">
        <v>465</v>
      </c>
      <c r="J228">
        <v>10001</v>
      </c>
      <c r="K228" s="1" t="s">
        <v>469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</v>
      </c>
    </row>
    <row r="229" spans="1:42" x14ac:dyDescent="0.25">
      <c r="A229" s="1" t="s">
        <v>83</v>
      </c>
      <c r="B229" s="1" t="s">
        <v>84</v>
      </c>
      <c r="C229" s="1" t="s">
        <v>109</v>
      </c>
      <c r="D229" s="1" t="s">
        <v>451</v>
      </c>
      <c r="E229">
        <v>1</v>
      </c>
      <c r="F229" s="10" t="str">
        <f>IF(final_data[[#This Row],[Total_applicants]]=0,"unknown","-")</f>
        <v>-</v>
      </c>
      <c r="G229" s="5">
        <v>270280</v>
      </c>
      <c r="H229" s="1" t="s">
        <v>43</v>
      </c>
      <c r="I229" s="1" t="s">
        <v>465</v>
      </c>
      <c r="J229">
        <v>10001</v>
      </c>
      <c r="K229" s="1" t="s">
        <v>469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</row>
    <row r="230" spans="1:42" x14ac:dyDescent="0.25">
      <c r="A230" s="1" t="s">
        <v>83</v>
      </c>
      <c r="B230" s="1" t="s">
        <v>84</v>
      </c>
      <c r="C230" s="1" t="s">
        <v>134</v>
      </c>
      <c r="D230" s="1" t="s">
        <v>449</v>
      </c>
      <c r="E230">
        <v>11</v>
      </c>
      <c r="F230" s="10" t="str">
        <f>IF(final_data[[#This Row],[Total_applicants]]=0,"unknown","-")</f>
        <v>-</v>
      </c>
      <c r="G230" s="5">
        <v>270280</v>
      </c>
      <c r="H230" s="1" t="s">
        <v>43</v>
      </c>
      <c r="I230" s="1" t="s">
        <v>465</v>
      </c>
      <c r="J230">
        <v>10001</v>
      </c>
      <c r="K230" s="1" t="s">
        <v>469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 s="1" t="s">
        <v>83</v>
      </c>
      <c r="B231" s="1" t="s">
        <v>84</v>
      </c>
      <c r="C231" s="1" t="s">
        <v>128</v>
      </c>
      <c r="D231" s="1" t="s">
        <v>449</v>
      </c>
      <c r="E231">
        <v>8</v>
      </c>
      <c r="F231" s="10" t="str">
        <f>IF(final_data[[#This Row],[Total_applicants]]=0,"unknown","-")</f>
        <v>-</v>
      </c>
      <c r="G231" s="5">
        <v>270280</v>
      </c>
      <c r="H231" s="1" t="s">
        <v>43</v>
      </c>
      <c r="I231" s="1" t="s">
        <v>465</v>
      </c>
      <c r="J231">
        <v>10001</v>
      </c>
      <c r="K231" s="1" t="s">
        <v>469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 s="1" t="s">
        <v>83</v>
      </c>
      <c r="B232" s="1" t="s">
        <v>84</v>
      </c>
      <c r="C232" s="1" t="s">
        <v>132</v>
      </c>
      <c r="D232" s="1" t="s">
        <v>454</v>
      </c>
      <c r="E232">
        <v>23</v>
      </c>
      <c r="F232" s="10" t="str">
        <f>IF(final_data[[#This Row],[Total_applicants]]=0,"unknown","-")</f>
        <v>-</v>
      </c>
      <c r="G232" s="5">
        <v>270280</v>
      </c>
      <c r="H232" s="1" t="s">
        <v>43</v>
      </c>
      <c r="I232" s="1" t="s">
        <v>465</v>
      </c>
      <c r="J232">
        <v>10001</v>
      </c>
      <c r="K232" s="1" t="s">
        <v>469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1</v>
      </c>
    </row>
    <row r="233" spans="1:42" x14ac:dyDescent="0.25">
      <c r="A233" s="1" t="s">
        <v>83</v>
      </c>
      <c r="B233" s="1" t="s">
        <v>84</v>
      </c>
      <c r="C233" s="1" t="s">
        <v>125</v>
      </c>
      <c r="D233" s="1" t="s">
        <v>449</v>
      </c>
      <c r="E233">
        <v>6</v>
      </c>
      <c r="F233" s="10" t="str">
        <f>IF(final_data[[#This Row],[Total_applicants]]=0,"unknown","-")</f>
        <v>-</v>
      </c>
      <c r="G233" s="5">
        <v>270280</v>
      </c>
      <c r="H233" s="1" t="s">
        <v>43</v>
      </c>
      <c r="I233" s="1" t="s">
        <v>466</v>
      </c>
      <c r="J233">
        <v>10001</v>
      </c>
      <c r="K233" s="1" t="s">
        <v>469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 s="1" t="s">
        <v>83</v>
      </c>
      <c r="B234" s="1" t="s">
        <v>84</v>
      </c>
      <c r="C234" s="1" t="s">
        <v>122</v>
      </c>
      <c r="D234" s="1" t="s">
        <v>453</v>
      </c>
      <c r="E234">
        <v>5</v>
      </c>
      <c r="F234" s="10" t="str">
        <f>IF(final_data[[#This Row],[Total_applicants]]=0,"unknown","-")</f>
        <v>-</v>
      </c>
      <c r="G234" s="5">
        <v>270280</v>
      </c>
      <c r="H234" s="1" t="s">
        <v>43</v>
      </c>
      <c r="I234" s="1" t="s">
        <v>466</v>
      </c>
      <c r="J234">
        <v>10001</v>
      </c>
      <c r="K234" s="1" t="s">
        <v>469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 s="1" t="s">
        <v>83</v>
      </c>
      <c r="B235" s="1" t="s">
        <v>84</v>
      </c>
      <c r="C235" s="1" t="s">
        <v>135</v>
      </c>
      <c r="D235" s="1" t="s">
        <v>449</v>
      </c>
      <c r="E235">
        <v>9</v>
      </c>
      <c r="F235" s="10" t="str">
        <f>IF(final_data[[#This Row],[Total_applicants]]=0,"unknown","-")</f>
        <v>-</v>
      </c>
      <c r="G235" s="5">
        <v>270280</v>
      </c>
      <c r="H235" s="1" t="s">
        <v>43</v>
      </c>
      <c r="I235" s="1" t="s">
        <v>465</v>
      </c>
      <c r="J235">
        <v>10001</v>
      </c>
      <c r="K235" s="1" t="s">
        <v>469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 s="1" t="s">
        <v>83</v>
      </c>
      <c r="B236" s="1" t="s">
        <v>84</v>
      </c>
      <c r="C236" s="1" t="s">
        <v>136</v>
      </c>
      <c r="D236" s="1" t="s">
        <v>456</v>
      </c>
      <c r="E236">
        <v>7</v>
      </c>
      <c r="F236" s="10" t="str">
        <f>IF(final_data[[#This Row],[Total_applicants]]=0,"unknown","-")</f>
        <v>-</v>
      </c>
      <c r="G236" s="5">
        <v>270280</v>
      </c>
      <c r="H236" s="1" t="s">
        <v>43</v>
      </c>
      <c r="I236" s="1" t="s">
        <v>466</v>
      </c>
      <c r="J236">
        <v>10001</v>
      </c>
      <c r="K236" s="1" t="s">
        <v>469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 s="1" t="s">
        <v>83</v>
      </c>
      <c r="B237" s="1" t="s">
        <v>84</v>
      </c>
      <c r="C237" s="1" t="s">
        <v>110</v>
      </c>
      <c r="D237" s="1" t="s">
        <v>452</v>
      </c>
      <c r="E237">
        <v>0</v>
      </c>
      <c r="F237" s="10" t="str">
        <f>IF(final_data[[#This Row],[Total_applicants]]=0,"unknown","-")</f>
        <v>unknown</v>
      </c>
      <c r="G237" s="5">
        <v>270280</v>
      </c>
      <c r="H237" s="1" t="s">
        <v>43</v>
      </c>
      <c r="I237" s="1" t="s">
        <v>466</v>
      </c>
      <c r="J237">
        <v>10001</v>
      </c>
      <c r="K237" s="1" t="s">
        <v>469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 s="1" t="s">
        <v>83</v>
      </c>
      <c r="B238" s="1" t="s">
        <v>84</v>
      </c>
      <c r="C238" s="1" t="s">
        <v>128</v>
      </c>
      <c r="D238" s="1" t="s">
        <v>450</v>
      </c>
      <c r="E238">
        <v>7</v>
      </c>
      <c r="F238" s="10" t="str">
        <f>IF(final_data[[#This Row],[Total_applicants]]=0,"unknown","-")</f>
        <v>-</v>
      </c>
      <c r="G238" s="5">
        <v>270280</v>
      </c>
      <c r="H238" s="1" t="s">
        <v>43</v>
      </c>
      <c r="I238" s="1" t="s">
        <v>465</v>
      </c>
      <c r="J238">
        <v>10001</v>
      </c>
      <c r="K238" s="1" t="s">
        <v>469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 s="1" t="s">
        <v>83</v>
      </c>
      <c r="B239" s="1" t="s">
        <v>84</v>
      </c>
      <c r="C239" s="1" t="s">
        <v>136</v>
      </c>
      <c r="D239" s="1" t="s">
        <v>450</v>
      </c>
      <c r="E239">
        <v>8</v>
      </c>
      <c r="F239" s="10" t="str">
        <f>IF(final_data[[#This Row],[Total_applicants]]=0,"unknown","-")</f>
        <v>-</v>
      </c>
      <c r="G239" s="5">
        <v>270280</v>
      </c>
      <c r="H239" s="1" t="s">
        <v>43</v>
      </c>
      <c r="I239" s="1" t="s">
        <v>466</v>
      </c>
      <c r="J239">
        <v>10001</v>
      </c>
      <c r="K239" s="1" t="s">
        <v>469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 s="1" t="s">
        <v>83</v>
      </c>
      <c r="B240" s="1" t="s">
        <v>84</v>
      </c>
      <c r="C240" s="1" t="s">
        <v>131</v>
      </c>
      <c r="D240" s="1" t="s">
        <v>449</v>
      </c>
      <c r="E240">
        <v>3</v>
      </c>
      <c r="F240" s="10" t="str">
        <f>IF(final_data[[#This Row],[Total_applicants]]=0,"unknown","-")</f>
        <v>-</v>
      </c>
      <c r="G240" s="5">
        <v>270280</v>
      </c>
      <c r="H240" s="1" t="s">
        <v>43</v>
      </c>
      <c r="I240" s="1" t="s">
        <v>465</v>
      </c>
      <c r="J240">
        <v>10001</v>
      </c>
      <c r="K240" s="1" t="s">
        <v>469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 s="1" t="s">
        <v>83</v>
      </c>
      <c r="B241" s="1" t="s">
        <v>84</v>
      </c>
      <c r="C241" s="1" t="s">
        <v>110</v>
      </c>
      <c r="D241" s="1" t="s">
        <v>452</v>
      </c>
      <c r="E241">
        <v>0</v>
      </c>
      <c r="F241" s="10" t="str">
        <f>IF(final_data[[#This Row],[Total_applicants]]=0,"unknown","-")</f>
        <v>unknown</v>
      </c>
      <c r="G241" s="5">
        <v>270280</v>
      </c>
      <c r="H241" s="1" t="s">
        <v>43</v>
      </c>
      <c r="I241" s="1" t="s">
        <v>466</v>
      </c>
      <c r="J241">
        <v>10001</v>
      </c>
      <c r="K241" s="1" t="s">
        <v>469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 s="1" t="s">
        <v>83</v>
      </c>
      <c r="B242" s="1" t="s">
        <v>84</v>
      </c>
      <c r="C242" s="1" t="s">
        <v>133</v>
      </c>
      <c r="D242" s="1" t="s">
        <v>449</v>
      </c>
      <c r="E242">
        <v>1</v>
      </c>
      <c r="F242" s="10" t="str">
        <f>IF(final_data[[#This Row],[Total_applicants]]=0,"unknown","-")</f>
        <v>-</v>
      </c>
      <c r="G242" s="5">
        <v>270280</v>
      </c>
      <c r="H242" s="1" t="s">
        <v>43</v>
      </c>
      <c r="I242" s="1" t="s">
        <v>466</v>
      </c>
      <c r="J242">
        <v>10001</v>
      </c>
      <c r="K242" s="1" t="s">
        <v>469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 s="1" t="s">
        <v>83</v>
      </c>
      <c r="B243" s="1" t="s">
        <v>84</v>
      </c>
      <c r="C243" s="1" t="s">
        <v>128</v>
      </c>
      <c r="D243" s="1" t="s">
        <v>455</v>
      </c>
      <c r="E243">
        <v>2</v>
      </c>
      <c r="F243" s="10" t="str">
        <f>IF(final_data[[#This Row],[Total_applicants]]=0,"unknown","-")</f>
        <v>-</v>
      </c>
      <c r="G243" s="5">
        <v>270280</v>
      </c>
      <c r="H243" s="1" t="s">
        <v>43</v>
      </c>
      <c r="I243" s="1" t="s">
        <v>465</v>
      </c>
      <c r="J243">
        <v>10001</v>
      </c>
      <c r="K243" s="1" t="s">
        <v>469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 s="1" t="s">
        <v>83</v>
      </c>
      <c r="B244" s="1" t="s">
        <v>84</v>
      </c>
      <c r="C244" s="1" t="s">
        <v>120</v>
      </c>
      <c r="D244" s="1" t="s">
        <v>456</v>
      </c>
      <c r="E244">
        <v>4</v>
      </c>
      <c r="F244" s="10" t="str">
        <f>IF(final_data[[#This Row],[Total_applicants]]=0,"unknown","-")</f>
        <v>-</v>
      </c>
      <c r="G244" s="5">
        <v>270280</v>
      </c>
      <c r="H244" s="1" t="s">
        <v>43</v>
      </c>
      <c r="I244" s="1" t="s">
        <v>466</v>
      </c>
      <c r="J244">
        <v>10001</v>
      </c>
      <c r="K244" s="1" t="s">
        <v>469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1</v>
      </c>
    </row>
    <row r="245" spans="1:42" x14ac:dyDescent="0.25">
      <c r="A245" s="1" t="s">
        <v>83</v>
      </c>
      <c r="B245" s="1" t="s">
        <v>84</v>
      </c>
      <c r="C245" s="1" t="s">
        <v>122</v>
      </c>
      <c r="D245" s="1" t="s">
        <v>450</v>
      </c>
      <c r="E245">
        <v>1</v>
      </c>
      <c r="F245" s="10" t="str">
        <f>IF(final_data[[#This Row],[Total_applicants]]=0,"unknown","-")</f>
        <v>-</v>
      </c>
      <c r="G245" s="5">
        <v>270280</v>
      </c>
      <c r="H245" s="1" t="s">
        <v>43</v>
      </c>
      <c r="I245" s="1" t="s">
        <v>466</v>
      </c>
      <c r="J245">
        <v>10001</v>
      </c>
      <c r="K245" s="1" t="s">
        <v>469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 s="1" t="s">
        <v>83</v>
      </c>
      <c r="B246" s="1" t="s">
        <v>84</v>
      </c>
      <c r="C246" s="1" t="s">
        <v>122</v>
      </c>
      <c r="D246" s="1" t="s">
        <v>455</v>
      </c>
      <c r="E246">
        <v>2</v>
      </c>
      <c r="F246" s="10" t="str">
        <f>IF(final_data[[#This Row],[Total_applicants]]=0,"unknown","-")</f>
        <v>-</v>
      </c>
      <c r="G246" s="5">
        <v>270280</v>
      </c>
      <c r="H246" s="1" t="s">
        <v>43</v>
      </c>
      <c r="I246" s="1" t="s">
        <v>466</v>
      </c>
      <c r="J246">
        <v>10001</v>
      </c>
      <c r="K246" s="1" t="s">
        <v>469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 s="1" t="s">
        <v>83</v>
      </c>
      <c r="B247" s="1" t="s">
        <v>84</v>
      </c>
      <c r="C247" s="1" t="s">
        <v>137</v>
      </c>
      <c r="D247" s="1" t="s">
        <v>449</v>
      </c>
      <c r="E247">
        <v>4</v>
      </c>
      <c r="F247" s="10" t="str">
        <f>IF(final_data[[#This Row],[Total_applicants]]=0,"unknown","-")</f>
        <v>-</v>
      </c>
      <c r="G247" s="5">
        <v>270280</v>
      </c>
      <c r="H247" s="1" t="s">
        <v>43</v>
      </c>
      <c r="I247" s="1" t="s">
        <v>466</v>
      </c>
      <c r="J247">
        <v>10001</v>
      </c>
      <c r="K247" s="1" t="s">
        <v>469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 s="1" t="s">
        <v>83</v>
      </c>
      <c r="B248" s="1" t="s">
        <v>84</v>
      </c>
      <c r="C248" s="1" t="s">
        <v>87</v>
      </c>
      <c r="D248" s="1" t="s">
        <v>450</v>
      </c>
      <c r="E248">
        <v>19</v>
      </c>
      <c r="F248" s="10" t="str">
        <f>IF(final_data[[#This Row],[Total_applicants]]=0,"unknown","-")</f>
        <v>-</v>
      </c>
      <c r="G248" s="5">
        <v>270280</v>
      </c>
      <c r="H248" s="1" t="s">
        <v>43</v>
      </c>
      <c r="I248" s="1" t="s">
        <v>465</v>
      </c>
      <c r="J248">
        <v>10001</v>
      </c>
      <c r="K248" s="1" t="s">
        <v>469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1</v>
      </c>
    </row>
    <row r="249" spans="1:42" x14ac:dyDescent="0.25">
      <c r="A249" s="1" t="s">
        <v>83</v>
      </c>
      <c r="B249" s="1" t="s">
        <v>84</v>
      </c>
      <c r="C249" s="1" t="s">
        <v>122</v>
      </c>
      <c r="D249" s="1" t="s">
        <v>449</v>
      </c>
      <c r="E249">
        <v>12</v>
      </c>
      <c r="F249" s="10" t="str">
        <f>IF(final_data[[#This Row],[Total_applicants]]=0,"unknown","-")</f>
        <v>-</v>
      </c>
      <c r="G249" s="5">
        <v>270280</v>
      </c>
      <c r="H249" s="1" t="s">
        <v>43</v>
      </c>
      <c r="I249" s="1" t="s">
        <v>466</v>
      </c>
      <c r="J249">
        <v>10001</v>
      </c>
      <c r="K249" s="1" t="s">
        <v>469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 s="1" t="s">
        <v>83</v>
      </c>
      <c r="B250" s="1" t="s">
        <v>84</v>
      </c>
      <c r="C250" s="1" t="s">
        <v>122</v>
      </c>
      <c r="D250" s="1" t="s">
        <v>449</v>
      </c>
      <c r="E250">
        <v>16</v>
      </c>
      <c r="F250" s="10" t="str">
        <f>IF(final_data[[#This Row],[Total_applicants]]=0,"unknown","-")</f>
        <v>-</v>
      </c>
      <c r="G250" s="5">
        <v>270280</v>
      </c>
      <c r="H250" s="1" t="s">
        <v>43</v>
      </c>
      <c r="I250" s="1" t="s">
        <v>466</v>
      </c>
      <c r="J250">
        <v>10001</v>
      </c>
      <c r="K250" s="1" t="s">
        <v>469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 s="1" t="s">
        <v>83</v>
      </c>
      <c r="B251" s="1" t="s">
        <v>84</v>
      </c>
      <c r="C251" s="1" t="s">
        <v>49</v>
      </c>
      <c r="D251" s="1" t="s">
        <v>450</v>
      </c>
      <c r="E251">
        <v>6</v>
      </c>
      <c r="F251" s="10" t="str">
        <f>IF(final_data[[#This Row],[Total_applicants]]=0,"unknown","-")</f>
        <v>-</v>
      </c>
      <c r="G251" s="5">
        <v>270280</v>
      </c>
      <c r="H251" s="1" t="s">
        <v>43</v>
      </c>
      <c r="I251" s="1" t="s">
        <v>466</v>
      </c>
      <c r="J251">
        <v>10001</v>
      </c>
      <c r="K251" s="1" t="s">
        <v>469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 s="1" t="s">
        <v>83</v>
      </c>
      <c r="B252" s="1" t="s">
        <v>84</v>
      </c>
      <c r="C252" s="1" t="s">
        <v>96</v>
      </c>
      <c r="D252" s="1" t="s">
        <v>449</v>
      </c>
      <c r="E252">
        <v>8</v>
      </c>
      <c r="F252" s="10" t="str">
        <f>IF(final_data[[#This Row],[Total_applicants]]=0,"unknown","-")</f>
        <v>-</v>
      </c>
      <c r="G252" s="5">
        <v>270280</v>
      </c>
      <c r="H252" s="1" t="s">
        <v>43</v>
      </c>
      <c r="I252" s="1" t="s">
        <v>466</v>
      </c>
      <c r="J252">
        <v>10001</v>
      </c>
      <c r="K252" s="1" t="s">
        <v>469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 s="1" t="s">
        <v>83</v>
      </c>
      <c r="B253" s="1" t="s">
        <v>84</v>
      </c>
      <c r="C253" s="1" t="s">
        <v>116</v>
      </c>
      <c r="D253" s="1" t="s">
        <v>453</v>
      </c>
      <c r="E253">
        <v>5</v>
      </c>
      <c r="F253" s="10" t="str">
        <f>IF(final_data[[#This Row],[Total_applicants]]=0,"unknown","-")</f>
        <v>-</v>
      </c>
      <c r="G253" s="5">
        <v>270280</v>
      </c>
      <c r="H253" s="1" t="s">
        <v>43</v>
      </c>
      <c r="I253" s="1" t="s">
        <v>465</v>
      </c>
      <c r="J253">
        <v>10001</v>
      </c>
      <c r="K253" s="1" t="s">
        <v>469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 s="1" t="s">
        <v>83</v>
      </c>
      <c r="B254" s="1" t="s">
        <v>84</v>
      </c>
      <c r="C254" s="1" t="s">
        <v>136</v>
      </c>
      <c r="D254" s="1" t="s">
        <v>449</v>
      </c>
      <c r="E254">
        <v>9</v>
      </c>
      <c r="F254" s="10" t="str">
        <f>IF(final_data[[#This Row],[Total_applicants]]=0,"unknown","-")</f>
        <v>-</v>
      </c>
      <c r="G254" s="5">
        <v>270280</v>
      </c>
      <c r="H254" s="1" t="s">
        <v>43</v>
      </c>
      <c r="I254" s="1" t="s">
        <v>466</v>
      </c>
      <c r="J254">
        <v>10001</v>
      </c>
      <c r="K254" s="1" t="s">
        <v>469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 s="1" t="s">
        <v>83</v>
      </c>
      <c r="B255" s="1" t="s">
        <v>84</v>
      </c>
      <c r="C255" s="1" t="s">
        <v>136</v>
      </c>
      <c r="D255" s="1" t="s">
        <v>453</v>
      </c>
      <c r="E255">
        <v>10</v>
      </c>
      <c r="F255" s="10" t="str">
        <f>IF(final_data[[#This Row],[Total_applicants]]=0,"unknown","-")</f>
        <v>-</v>
      </c>
      <c r="G255" s="5">
        <v>270280</v>
      </c>
      <c r="H255" s="1" t="s">
        <v>43</v>
      </c>
      <c r="I255" s="1" t="s">
        <v>466</v>
      </c>
      <c r="J255">
        <v>10001</v>
      </c>
      <c r="K255" s="1" t="s">
        <v>469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 s="1" t="s">
        <v>83</v>
      </c>
      <c r="B256" s="1" t="s">
        <v>84</v>
      </c>
      <c r="C256" s="1" t="s">
        <v>122</v>
      </c>
      <c r="D256" s="1" t="s">
        <v>450</v>
      </c>
      <c r="E256">
        <v>3</v>
      </c>
      <c r="F256" s="10" t="str">
        <f>IF(final_data[[#This Row],[Total_applicants]]=0,"unknown","-")</f>
        <v>-</v>
      </c>
      <c r="G256" s="5">
        <v>270280</v>
      </c>
      <c r="H256" s="1" t="s">
        <v>43</v>
      </c>
      <c r="I256" s="1" t="s">
        <v>466</v>
      </c>
      <c r="J256">
        <v>10001</v>
      </c>
      <c r="K256" s="1" t="s">
        <v>469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 s="1" t="s">
        <v>83</v>
      </c>
      <c r="B257" s="1" t="s">
        <v>84</v>
      </c>
      <c r="C257" s="1" t="s">
        <v>138</v>
      </c>
      <c r="D257" s="1" t="s">
        <v>451</v>
      </c>
      <c r="E257">
        <v>1</v>
      </c>
      <c r="F257" s="10" t="str">
        <f>IF(final_data[[#This Row],[Total_applicants]]=0,"unknown","-")</f>
        <v>-</v>
      </c>
      <c r="G257" s="5">
        <v>270280</v>
      </c>
      <c r="H257" s="1" t="s">
        <v>43</v>
      </c>
      <c r="I257" s="1" t="s">
        <v>465</v>
      </c>
      <c r="J257">
        <v>10001</v>
      </c>
      <c r="K257" s="1" t="s">
        <v>469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 s="1" t="s">
        <v>83</v>
      </c>
      <c r="B258" s="1" t="s">
        <v>84</v>
      </c>
      <c r="C258" s="1" t="s">
        <v>110</v>
      </c>
      <c r="D258" s="1" t="s">
        <v>451</v>
      </c>
      <c r="E258">
        <v>0</v>
      </c>
      <c r="F258" s="10" t="str">
        <f>IF(final_data[[#This Row],[Total_applicants]]=0,"unknown","-")</f>
        <v>unknown</v>
      </c>
      <c r="G258" s="5">
        <v>270280</v>
      </c>
      <c r="H258" s="1" t="s">
        <v>43</v>
      </c>
      <c r="I258" s="1" t="s">
        <v>466</v>
      </c>
      <c r="J258">
        <v>10001</v>
      </c>
      <c r="K258" s="1" t="s">
        <v>469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 s="1" t="s">
        <v>83</v>
      </c>
      <c r="B259" s="1" t="s">
        <v>84</v>
      </c>
      <c r="C259" s="1" t="s">
        <v>122</v>
      </c>
      <c r="D259" s="1" t="s">
        <v>453</v>
      </c>
      <c r="E259">
        <v>0</v>
      </c>
      <c r="F259" s="10" t="str">
        <f>IF(final_data[[#This Row],[Total_applicants]]=0,"unknown","-")</f>
        <v>unknown</v>
      </c>
      <c r="G259" s="5">
        <v>270280</v>
      </c>
      <c r="H259" s="1" t="s">
        <v>43</v>
      </c>
      <c r="I259" s="1" t="s">
        <v>466</v>
      </c>
      <c r="J259">
        <v>10001</v>
      </c>
      <c r="K259" s="1" t="s">
        <v>469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 s="1" t="s">
        <v>83</v>
      </c>
      <c r="B260" s="1" t="s">
        <v>84</v>
      </c>
      <c r="C260" s="1" t="s">
        <v>122</v>
      </c>
      <c r="D260" s="1" t="s">
        <v>449</v>
      </c>
      <c r="E260">
        <v>3</v>
      </c>
      <c r="F260" s="10" t="str">
        <f>IF(final_data[[#This Row],[Total_applicants]]=0,"unknown","-")</f>
        <v>-</v>
      </c>
      <c r="G260" s="5">
        <v>270280</v>
      </c>
      <c r="H260" s="1" t="s">
        <v>43</v>
      </c>
      <c r="I260" s="1" t="s">
        <v>466</v>
      </c>
      <c r="J260">
        <v>10001</v>
      </c>
      <c r="K260" s="1" t="s">
        <v>469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 s="1" t="s">
        <v>83</v>
      </c>
      <c r="B261" s="1" t="s">
        <v>84</v>
      </c>
      <c r="C261" s="1" t="s">
        <v>139</v>
      </c>
      <c r="D261" s="1" t="s">
        <v>449</v>
      </c>
      <c r="E261">
        <v>7</v>
      </c>
      <c r="F261" s="10" t="str">
        <f>IF(final_data[[#This Row],[Total_applicants]]=0,"unknown","-")</f>
        <v>-</v>
      </c>
      <c r="G261" s="5">
        <v>270280</v>
      </c>
      <c r="H261" s="1" t="s">
        <v>43</v>
      </c>
      <c r="I261" s="1" t="s">
        <v>466</v>
      </c>
      <c r="J261">
        <v>10001</v>
      </c>
      <c r="K261" s="1" t="s">
        <v>469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1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 s="1" t="s">
        <v>83</v>
      </c>
      <c r="B262" s="1" t="s">
        <v>84</v>
      </c>
      <c r="C262" s="1" t="s">
        <v>132</v>
      </c>
      <c r="D262" s="1" t="s">
        <v>449</v>
      </c>
      <c r="E262">
        <v>25</v>
      </c>
      <c r="F262" s="10" t="str">
        <f>IF(final_data[[#This Row],[Total_applicants]]=0,"unknown","-")</f>
        <v>-</v>
      </c>
      <c r="G262" s="5">
        <v>270280</v>
      </c>
      <c r="H262" s="1" t="s">
        <v>43</v>
      </c>
      <c r="I262" s="1" t="s">
        <v>465</v>
      </c>
      <c r="J262">
        <v>10001</v>
      </c>
      <c r="K262" s="1" t="s">
        <v>469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1</v>
      </c>
    </row>
    <row r="263" spans="1:42" x14ac:dyDescent="0.25">
      <c r="A263" s="1" t="s">
        <v>83</v>
      </c>
      <c r="B263" s="1" t="s">
        <v>84</v>
      </c>
      <c r="C263" s="1" t="s">
        <v>140</v>
      </c>
      <c r="D263" s="1" t="s">
        <v>452</v>
      </c>
      <c r="E263">
        <v>5</v>
      </c>
      <c r="F263" s="10" t="str">
        <f>IF(final_data[[#This Row],[Total_applicants]]=0,"unknown","-")</f>
        <v>-</v>
      </c>
      <c r="G263" s="5">
        <v>270280</v>
      </c>
      <c r="H263" s="1" t="s">
        <v>43</v>
      </c>
      <c r="I263" s="1" t="s">
        <v>466</v>
      </c>
      <c r="J263">
        <v>10001</v>
      </c>
      <c r="K263" s="1" t="s">
        <v>469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 s="1" t="s">
        <v>83</v>
      </c>
      <c r="B264" s="1" t="s">
        <v>84</v>
      </c>
      <c r="C264" s="1" t="s">
        <v>127</v>
      </c>
      <c r="D264" s="1" t="s">
        <v>455</v>
      </c>
      <c r="E264">
        <v>2</v>
      </c>
      <c r="F264" s="10" t="str">
        <f>IF(final_data[[#This Row],[Total_applicants]]=0,"unknown","-")</f>
        <v>-</v>
      </c>
      <c r="G264" s="5">
        <v>270280</v>
      </c>
      <c r="H264" s="1" t="s">
        <v>43</v>
      </c>
      <c r="I264" s="1" t="s">
        <v>465</v>
      </c>
      <c r="J264">
        <v>10001</v>
      </c>
      <c r="K264" s="1" t="s">
        <v>469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 s="1" t="s">
        <v>83</v>
      </c>
      <c r="B265" s="1" t="s">
        <v>84</v>
      </c>
      <c r="C265" s="1" t="s">
        <v>115</v>
      </c>
      <c r="D265" s="1" t="s">
        <v>454</v>
      </c>
      <c r="E265">
        <v>7</v>
      </c>
      <c r="F265" s="10" t="str">
        <f>IF(final_data[[#This Row],[Total_applicants]]=0,"unknown","-")</f>
        <v>-</v>
      </c>
      <c r="G265" s="5">
        <v>270280</v>
      </c>
      <c r="H265" s="1" t="s">
        <v>43</v>
      </c>
      <c r="I265" s="1" t="s">
        <v>466</v>
      </c>
      <c r="J265">
        <v>10001</v>
      </c>
      <c r="K265" s="1" t="s">
        <v>469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1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 s="1" t="s">
        <v>83</v>
      </c>
      <c r="B266" s="1" t="s">
        <v>84</v>
      </c>
      <c r="C266" s="1" t="s">
        <v>125</v>
      </c>
      <c r="D266" s="1" t="s">
        <v>452</v>
      </c>
      <c r="E266">
        <v>6</v>
      </c>
      <c r="F266" s="10" t="str">
        <f>IF(final_data[[#This Row],[Total_applicants]]=0,"unknown","-")</f>
        <v>-</v>
      </c>
      <c r="G266" s="5">
        <v>270280</v>
      </c>
      <c r="H266" s="1" t="s">
        <v>43</v>
      </c>
      <c r="I266" s="1" t="s">
        <v>466</v>
      </c>
      <c r="J266">
        <v>10001</v>
      </c>
      <c r="K266" s="1" t="s">
        <v>469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 s="1" t="s">
        <v>83</v>
      </c>
      <c r="B267" s="1" t="s">
        <v>84</v>
      </c>
      <c r="C267" s="1" t="s">
        <v>127</v>
      </c>
      <c r="D267" s="1" t="s">
        <v>451</v>
      </c>
      <c r="E267">
        <v>0</v>
      </c>
      <c r="F267" s="10" t="str">
        <f>IF(final_data[[#This Row],[Total_applicants]]=0,"unknown","-")</f>
        <v>unknown</v>
      </c>
      <c r="G267" s="5">
        <v>270280</v>
      </c>
      <c r="H267" s="1" t="s">
        <v>43</v>
      </c>
      <c r="I267" s="1" t="s">
        <v>465</v>
      </c>
      <c r="J267">
        <v>10001</v>
      </c>
      <c r="K267" s="1" t="s">
        <v>469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 s="1" t="s">
        <v>83</v>
      </c>
      <c r="B268" s="1" t="s">
        <v>84</v>
      </c>
      <c r="C268" s="1" t="s">
        <v>141</v>
      </c>
      <c r="D268" s="1" t="s">
        <v>449</v>
      </c>
      <c r="E268">
        <v>0</v>
      </c>
      <c r="F268" s="10" t="str">
        <f>IF(final_data[[#This Row],[Total_applicants]]=0,"unknown","-")</f>
        <v>unknown</v>
      </c>
      <c r="G268" s="5">
        <v>270280</v>
      </c>
      <c r="H268" s="1" t="s">
        <v>43</v>
      </c>
      <c r="I268" s="1" t="s">
        <v>465</v>
      </c>
      <c r="J268">
        <v>10001</v>
      </c>
      <c r="K268" s="1" t="s">
        <v>469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 s="1" t="s">
        <v>83</v>
      </c>
      <c r="B269" s="1" t="s">
        <v>84</v>
      </c>
      <c r="C269" s="1" t="s">
        <v>128</v>
      </c>
      <c r="D269" s="1" t="s">
        <v>452</v>
      </c>
      <c r="E269">
        <v>6</v>
      </c>
      <c r="F269" s="10" t="str">
        <f>IF(final_data[[#This Row],[Total_applicants]]=0,"unknown","-")</f>
        <v>-</v>
      </c>
      <c r="G269" s="5">
        <v>270280</v>
      </c>
      <c r="H269" s="1" t="s">
        <v>43</v>
      </c>
      <c r="I269" s="1" t="s">
        <v>465</v>
      </c>
      <c r="J269">
        <v>10001</v>
      </c>
      <c r="K269" s="1" t="s">
        <v>469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1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 s="1" t="s">
        <v>83</v>
      </c>
      <c r="B270" s="1" t="s">
        <v>84</v>
      </c>
      <c r="C270" s="1" t="s">
        <v>142</v>
      </c>
      <c r="D270" s="1" t="s">
        <v>454</v>
      </c>
      <c r="E270">
        <v>0</v>
      </c>
      <c r="F270" s="10" t="str">
        <f>IF(final_data[[#This Row],[Total_applicants]]=0,"unknown","-")</f>
        <v>unknown</v>
      </c>
      <c r="G270" s="5">
        <v>270280</v>
      </c>
      <c r="H270" s="1" t="s">
        <v>43</v>
      </c>
      <c r="I270" s="1" t="s">
        <v>466</v>
      </c>
      <c r="J270">
        <v>10001</v>
      </c>
      <c r="K270" s="1" t="s">
        <v>469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1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 s="1" t="s">
        <v>83</v>
      </c>
      <c r="B271" s="1" t="s">
        <v>84</v>
      </c>
      <c r="C271" s="1" t="s">
        <v>143</v>
      </c>
      <c r="D271" s="1" t="s">
        <v>456</v>
      </c>
      <c r="E271">
        <v>0</v>
      </c>
      <c r="F271" s="10" t="str">
        <f>IF(final_data[[#This Row],[Total_applicants]]=0,"unknown","-")</f>
        <v>unknown</v>
      </c>
      <c r="G271" s="5">
        <v>270280</v>
      </c>
      <c r="H271" s="1" t="s">
        <v>43</v>
      </c>
      <c r="I271" s="1" t="s">
        <v>465</v>
      </c>
      <c r="J271">
        <v>10001</v>
      </c>
      <c r="K271" s="1" t="s">
        <v>469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1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 s="1" t="s">
        <v>83</v>
      </c>
      <c r="B272" s="1" t="s">
        <v>84</v>
      </c>
      <c r="C272" s="1" t="s">
        <v>144</v>
      </c>
      <c r="D272" s="1" t="s">
        <v>453</v>
      </c>
      <c r="E272">
        <v>0</v>
      </c>
      <c r="F272" s="10" t="str">
        <f>IF(final_data[[#This Row],[Total_applicants]]=0,"unknown","-")</f>
        <v>unknown</v>
      </c>
      <c r="G272" s="5">
        <v>270280</v>
      </c>
      <c r="H272" s="1" t="s">
        <v>43</v>
      </c>
      <c r="I272" s="1" t="s">
        <v>466</v>
      </c>
      <c r="J272">
        <v>10001</v>
      </c>
      <c r="K272" s="1" t="s">
        <v>469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</row>
    <row r="273" spans="1:42" x14ac:dyDescent="0.25">
      <c r="A273" s="1" t="s">
        <v>83</v>
      </c>
      <c r="B273" s="1" t="s">
        <v>84</v>
      </c>
      <c r="C273" s="1" t="s">
        <v>144</v>
      </c>
      <c r="D273" s="1" t="s">
        <v>455</v>
      </c>
      <c r="E273">
        <v>0</v>
      </c>
      <c r="F273" s="10" t="str">
        <f>IF(final_data[[#This Row],[Total_applicants]]=0,"unknown","-")</f>
        <v>unknown</v>
      </c>
      <c r="G273" s="5">
        <v>270280</v>
      </c>
      <c r="H273" s="1" t="s">
        <v>43</v>
      </c>
      <c r="I273" s="1" t="s">
        <v>466</v>
      </c>
      <c r="J273">
        <v>10001</v>
      </c>
      <c r="K273" s="1" t="s">
        <v>469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 s="1" t="s">
        <v>83</v>
      </c>
      <c r="B274" s="1" t="s">
        <v>84</v>
      </c>
      <c r="C274" s="1" t="s">
        <v>145</v>
      </c>
      <c r="D274" s="1" t="s">
        <v>449</v>
      </c>
      <c r="E274">
        <v>5</v>
      </c>
      <c r="F274" s="10" t="str">
        <f>IF(final_data[[#This Row],[Total_applicants]]=0,"unknown","-")</f>
        <v>-</v>
      </c>
      <c r="G274" s="5">
        <v>270280</v>
      </c>
      <c r="H274" s="1" t="s">
        <v>43</v>
      </c>
      <c r="I274" s="1" t="s">
        <v>465</v>
      </c>
      <c r="J274">
        <v>10001</v>
      </c>
      <c r="K274" s="1" t="s">
        <v>469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 s="1" t="s">
        <v>83</v>
      </c>
      <c r="B275" s="1" t="s">
        <v>84</v>
      </c>
      <c r="C275" s="1" t="s">
        <v>112</v>
      </c>
      <c r="D275" s="1" t="s">
        <v>456</v>
      </c>
      <c r="E275">
        <v>1</v>
      </c>
      <c r="F275" s="10" t="str">
        <f>IF(final_data[[#This Row],[Total_applicants]]=0,"unknown","-")</f>
        <v>-</v>
      </c>
      <c r="G275" s="5">
        <v>270280</v>
      </c>
      <c r="H275" s="1" t="s">
        <v>43</v>
      </c>
      <c r="I275" s="1" t="s">
        <v>465</v>
      </c>
      <c r="J275">
        <v>10001</v>
      </c>
      <c r="K275" s="1" t="s">
        <v>469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 s="1" t="s">
        <v>83</v>
      </c>
      <c r="B276" s="1" t="s">
        <v>84</v>
      </c>
      <c r="C276" s="1" t="s">
        <v>146</v>
      </c>
      <c r="D276" s="1" t="s">
        <v>451</v>
      </c>
      <c r="E276">
        <v>4</v>
      </c>
      <c r="F276" s="10" t="str">
        <f>IF(final_data[[#This Row],[Total_applicants]]=0,"unknown","-")</f>
        <v>-</v>
      </c>
      <c r="G276" s="5">
        <v>270280</v>
      </c>
      <c r="H276" s="1" t="s">
        <v>43</v>
      </c>
      <c r="I276" s="1" t="s">
        <v>466</v>
      </c>
      <c r="J276">
        <v>10001</v>
      </c>
      <c r="K276" s="1" t="s">
        <v>469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 s="1" t="s">
        <v>83</v>
      </c>
      <c r="B277" s="1" t="s">
        <v>84</v>
      </c>
      <c r="C277" s="1" t="s">
        <v>144</v>
      </c>
      <c r="D277" s="1" t="s">
        <v>450</v>
      </c>
      <c r="E277">
        <v>0</v>
      </c>
      <c r="F277" s="10" t="str">
        <f>IF(final_data[[#This Row],[Total_applicants]]=0,"unknown","-")</f>
        <v>unknown</v>
      </c>
      <c r="G277" s="5">
        <v>270280</v>
      </c>
      <c r="H277" s="1" t="s">
        <v>43</v>
      </c>
      <c r="I277" s="1" t="s">
        <v>466</v>
      </c>
      <c r="J277">
        <v>10001</v>
      </c>
      <c r="K277" s="1" t="s">
        <v>469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</row>
    <row r="278" spans="1:42" x14ac:dyDescent="0.25">
      <c r="A278" s="1" t="s">
        <v>83</v>
      </c>
      <c r="B278" s="1" t="s">
        <v>84</v>
      </c>
      <c r="C278" s="1" t="s">
        <v>87</v>
      </c>
      <c r="D278" s="1" t="s">
        <v>449</v>
      </c>
      <c r="E278">
        <v>33</v>
      </c>
      <c r="F278" s="10" t="str">
        <f>IF(final_data[[#This Row],[Total_applicants]]=0,"unknown","-")</f>
        <v>-</v>
      </c>
      <c r="G278" s="5">
        <v>270280</v>
      </c>
      <c r="H278" s="1" t="s">
        <v>43</v>
      </c>
      <c r="I278" s="1" t="s">
        <v>465</v>
      </c>
      <c r="J278">
        <v>10001</v>
      </c>
      <c r="K278" s="1" t="s">
        <v>469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1</v>
      </c>
    </row>
    <row r="279" spans="1:42" x14ac:dyDescent="0.25">
      <c r="A279" s="1" t="s">
        <v>83</v>
      </c>
      <c r="B279" s="1" t="s">
        <v>84</v>
      </c>
      <c r="C279" s="1" t="s">
        <v>127</v>
      </c>
      <c r="D279" s="1" t="s">
        <v>452</v>
      </c>
      <c r="E279">
        <v>1</v>
      </c>
      <c r="F279" s="10" t="str">
        <f>IF(final_data[[#This Row],[Total_applicants]]=0,"unknown","-")</f>
        <v>-</v>
      </c>
      <c r="G279" s="5">
        <v>270280</v>
      </c>
      <c r="H279" s="1" t="s">
        <v>43</v>
      </c>
      <c r="I279" s="1" t="s">
        <v>465</v>
      </c>
      <c r="J279">
        <v>10001</v>
      </c>
      <c r="K279" s="1" t="s">
        <v>469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 s="1" t="s">
        <v>83</v>
      </c>
      <c r="B280" s="1" t="s">
        <v>84</v>
      </c>
      <c r="C280" s="1" t="s">
        <v>122</v>
      </c>
      <c r="D280" s="1" t="s">
        <v>456</v>
      </c>
      <c r="E280">
        <v>4</v>
      </c>
      <c r="F280" s="10" t="str">
        <f>IF(final_data[[#This Row],[Total_applicants]]=0,"unknown","-")</f>
        <v>-</v>
      </c>
      <c r="G280" s="5">
        <v>270280</v>
      </c>
      <c r="H280" s="1" t="s">
        <v>43</v>
      </c>
      <c r="I280" s="1" t="s">
        <v>466</v>
      </c>
      <c r="J280">
        <v>10001</v>
      </c>
      <c r="K280" s="1" t="s">
        <v>469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 s="1" t="s">
        <v>83</v>
      </c>
      <c r="B281" s="1" t="s">
        <v>84</v>
      </c>
      <c r="C281" s="1" t="s">
        <v>110</v>
      </c>
      <c r="D281" s="1" t="s">
        <v>449</v>
      </c>
      <c r="E281">
        <v>0</v>
      </c>
      <c r="F281" s="10" t="str">
        <f>IF(final_data[[#This Row],[Total_applicants]]=0,"unknown","-")</f>
        <v>unknown</v>
      </c>
      <c r="G281" s="5">
        <v>270280</v>
      </c>
      <c r="H281" s="1" t="s">
        <v>43</v>
      </c>
      <c r="I281" s="1" t="s">
        <v>466</v>
      </c>
      <c r="J281">
        <v>10001</v>
      </c>
      <c r="K281" s="1" t="s">
        <v>469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 s="1" t="s">
        <v>83</v>
      </c>
      <c r="B282" s="1" t="s">
        <v>84</v>
      </c>
      <c r="C282" s="1" t="s">
        <v>147</v>
      </c>
      <c r="D282" s="1" t="s">
        <v>458</v>
      </c>
      <c r="E282">
        <v>10</v>
      </c>
      <c r="F282" s="10" t="str">
        <f>IF(final_data[[#This Row],[Total_applicants]]=0,"unknown","-")</f>
        <v>-</v>
      </c>
      <c r="G282" s="5">
        <v>270280</v>
      </c>
      <c r="H282" s="1" t="s">
        <v>43</v>
      </c>
      <c r="I282" s="1" t="s">
        <v>465</v>
      </c>
      <c r="J282">
        <v>10001</v>
      </c>
      <c r="K282" s="1" t="s">
        <v>469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1</v>
      </c>
    </row>
    <row r="283" spans="1:42" x14ac:dyDescent="0.25">
      <c r="A283" s="1" t="s">
        <v>83</v>
      </c>
      <c r="B283" s="1" t="s">
        <v>84</v>
      </c>
      <c r="C283" s="1" t="s">
        <v>106</v>
      </c>
      <c r="D283" s="1" t="s">
        <v>452</v>
      </c>
      <c r="E283">
        <v>3</v>
      </c>
      <c r="F283" s="10" t="str">
        <f>IF(final_data[[#This Row],[Total_applicants]]=0,"unknown","-")</f>
        <v>-</v>
      </c>
      <c r="G283" s="5">
        <v>270280</v>
      </c>
      <c r="H283" s="1" t="s">
        <v>43</v>
      </c>
      <c r="I283" s="1" t="s">
        <v>465</v>
      </c>
      <c r="J283">
        <v>10001</v>
      </c>
      <c r="K283" s="1" t="s">
        <v>469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 s="1" t="s">
        <v>83</v>
      </c>
      <c r="B284" s="1" t="s">
        <v>84</v>
      </c>
      <c r="C284" s="1" t="s">
        <v>145</v>
      </c>
      <c r="D284" s="1" t="s">
        <v>449</v>
      </c>
      <c r="E284">
        <v>9</v>
      </c>
      <c r="F284" s="10" t="str">
        <f>IF(final_data[[#This Row],[Total_applicants]]=0,"unknown","-")</f>
        <v>-</v>
      </c>
      <c r="G284" s="5">
        <v>270280</v>
      </c>
      <c r="H284" s="1" t="s">
        <v>43</v>
      </c>
      <c r="I284" s="1" t="s">
        <v>465</v>
      </c>
      <c r="J284">
        <v>10001</v>
      </c>
      <c r="K284" s="1" t="s">
        <v>469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 s="1" t="s">
        <v>83</v>
      </c>
      <c r="B285" s="1" t="s">
        <v>84</v>
      </c>
      <c r="C285" s="1" t="s">
        <v>122</v>
      </c>
      <c r="D285" s="1" t="s">
        <v>455</v>
      </c>
      <c r="E285">
        <v>11</v>
      </c>
      <c r="F285" s="10" t="str">
        <f>IF(final_data[[#This Row],[Total_applicants]]=0,"unknown","-")</f>
        <v>-</v>
      </c>
      <c r="G285" s="5">
        <v>270280</v>
      </c>
      <c r="H285" s="1" t="s">
        <v>43</v>
      </c>
      <c r="I285" s="1" t="s">
        <v>466</v>
      </c>
      <c r="J285">
        <v>10001</v>
      </c>
      <c r="K285" s="1" t="s">
        <v>469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 s="1" t="s">
        <v>83</v>
      </c>
      <c r="B286" s="1" t="s">
        <v>84</v>
      </c>
      <c r="C286" s="1" t="s">
        <v>141</v>
      </c>
      <c r="D286" s="1" t="s">
        <v>454</v>
      </c>
      <c r="E286">
        <v>4</v>
      </c>
      <c r="F286" s="10" t="str">
        <f>IF(final_data[[#This Row],[Total_applicants]]=0,"unknown","-")</f>
        <v>-</v>
      </c>
      <c r="G286" s="5">
        <v>270280</v>
      </c>
      <c r="H286" s="1" t="s">
        <v>43</v>
      </c>
      <c r="I286" s="1" t="s">
        <v>465</v>
      </c>
      <c r="J286">
        <v>10001</v>
      </c>
      <c r="K286" s="1" t="s">
        <v>469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 s="1" t="s">
        <v>83</v>
      </c>
      <c r="B287" s="1" t="s">
        <v>84</v>
      </c>
      <c r="C287" s="1" t="s">
        <v>148</v>
      </c>
      <c r="D287" s="1" t="s">
        <v>452</v>
      </c>
      <c r="E287">
        <v>8</v>
      </c>
      <c r="F287" s="10" t="str">
        <f>IF(final_data[[#This Row],[Total_applicants]]=0,"unknown","-")</f>
        <v>-</v>
      </c>
      <c r="G287" s="5">
        <v>270280</v>
      </c>
      <c r="H287" s="1" t="s">
        <v>43</v>
      </c>
      <c r="I287" s="1" t="s">
        <v>465</v>
      </c>
      <c r="J287">
        <v>10001</v>
      </c>
      <c r="K287" s="1" t="s">
        <v>469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 s="1" t="s">
        <v>83</v>
      </c>
      <c r="B288" s="1" t="s">
        <v>84</v>
      </c>
      <c r="C288" s="1" t="s">
        <v>142</v>
      </c>
      <c r="D288" s="1" t="s">
        <v>456</v>
      </c>
      <c r="E288">
        <v>2</v>
      </c>
      <c r="F288" s="10" t="str">
        <f>IF(final_data[[#This Row],[Total_applicants]]=0,"unknown","-")</f>
        <v>-</v>
      </c>
      <c r="G288" s="5">
        <v>270280</v>
      </c>
      <c r="H288" s="1" t="s">
        <v>43</v>
      </c>
      <c r="I288" s="1" t="s">
        <v>466</v>
      </c>
      <c r="J288">
        <v>10001</v>
      </c>
      <c r="K288" s="1" t="s">
        <v>469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1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 s="1" t="s">
        <v>83</v>
      </c>
      <c r="B289" s="1" t="s">
        <v>84</v>
      </c>
      <c r="C289" s="1" t="s">
        <v>131</v>
      </c>
      <c r="D289" s="1" t="s">
        <v>452</v>
      </c>
      <c r="E289">
        <v>0</v>
      </c>
      <c r="F289" s="10" t="str">
        <f>IF(final_data[[#This Row],[Total_applicants]]=0,"unknown","-")</f>
        <v>unknown</v>
      </c>
      <c r="G289" s="5">
        <v>270280</v>
      </c>
      <c r="H289" s="1" t="s">
        <v>43</v>
      </c>
      <c r="I289" s="1" t="s">
        <v>465</v>
      </c>
      <c r="J289">
        <v>10001</v>
      </c>
      <c r="K289" s="1" t="s">
        <v>469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 s="1" t="s">
        <v>83</v>
      </c>
      <c r="B290" s="1" t="s">
        <v>84</v>
      </c>
      <c r="C290" s="1" t="s">
        <v>131</v>
      </c>
      <c r="D290" s="1" t="s">
        <v>456</v>
      </c>
      <c r="E290">
        <v>1</v>
      </c>
      <c r="F290" s="10" t="str">
        <f>IF(final_data[[#This Row],[Total_applicants]]=0,"unknown","-")</f>
        <v>-</v>
      </c>
      <c r="G290" s="5">
        <v>270280</v>
      </c>
      <c r="H290" s="1" t="s">
        <v>43</v>
      </c>
      <c r="I290" s="1" t="s">
        <v>465</v>
      </c>
      <c r="J290">
        <v>10001</v>
      </c>
      <c r="K290" s="1" t="s">
        <v>469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 s="1" t="s">
        <v>149</v>
      </c>
      <c r="B291" s="1" t="s">
        <v>150</v>
      </c>
      <c r="C291" s="1" t="s">
        <v>151</v>
      </c>
      <c r="D291" s="1" t="s">
        <v>449</v>
      </c>
      <c r="E291">
        <v>9</v>
      </c>
      <c r="F291" s="10" t="str">
        <f>IF(final_data[[#This Row],[Total_applicants]]=0,"unknown","-")</f>
        <v>-</v>
      </c>
      <c r="G291" s="5">
        <v>80865</v>
      </c>
      <c r="H291" s="1" t="s">
        <v>43</v>
      </c>
      <c r="I291" s="1" t="s">
        <v>465</v>
      </c>
      <c r="J291">
        <v>1200</v>
      </c>
      <c r="K291" s="1" t="s">
        <v>469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1</v>
      </c>
      <c r="AP291">
        <v>1</v>
      </c>
    </row>
    <row r="292" spans="1:42" x14ac:dyDescent="0.25">
      <c r="A292" s="1" t="s">
        <v>149</v>
      </c>
      <c r="B292" s="1" t="s">
        <v>150</v>
      </c>
      <c r="C292" s="1" t="s">
        <v>42</v>
      </c>
      <c r="D292" s="1" t="s">
        <v>452</v>
      </c>
      <c r="E292">
        <v>62</v>
      </c>
      <c r="F292" s="10" t="str">
        <f>IF(final_data[[#This Row],[Total_applicants]]=0,"unknown","-")</f>
        <v>-</v>
      </c>
      <c r="G292" s="5">
        <v>80865</v>
      </c>
      <c r="H292" s="1" t="s">
        <v>43</v>
      </c>
      <c r="I292" s="1" t="s">
        <v>465</v>
      </c>
      <c r="J292">
        <v>1200</v>
      </c>
      <c r="K292" s="1" t="s">
        <v>469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 s="1" t="s">
        <v>149</v>
      </c>
      <c r="B293" s="1" t="s">
        <v>150</v>
      </c>
      <c r="C293" s="1" t="s">
        <v>42</v>
      </c>
      <c r="D293" s="1" t="s">
        <v>452</v>
      </c>
      <c r="E293">
        <v>42</v>
      </c>
      <c r="F293" s="10" t="str">
        <f>IF(final_data[[#This Row],[Total_applicants]]=0,"unknown","-")</f>
        <v>-</v>
      </c>
      <c r="G293" s="5">
        <v>80865</v>
      </c>
      <c r="H293" s="1" t="s">
        <v>43</v>
      </c>
      <c r="I293" s="1" t="s">
        <v>465</v>
      </c>
      <c r="J293">
        <v>1200</v>
      </c>
      <c r="K293" s="1" t="s">
        <v>469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 s="1" t="s">
        <v>149</v>
      </c>
      <c r="B294" s="1" t="s">
        <v>150</v>
      </c>
      <c r="C294" s="1" t="s">
        <v>152</v>
      </c>
      <c r="D294" s="1" t="s">
        <v>451</v>
      </c>
      <c r="E294">
        <v>178</v>
      </c>
      <c r="F294" s="10" t="str">
        <f>IF(final_data[[#This Row],[Total_applicants]]=0,"unknown","-")</f>
        <v>-</v>
      </c>
      <c r="G294" s="5">
        <v>80865</v>
      </c>
      <c r="H294" s="1" t="s">
        <v>43</v>
      </c>
      <c r="I294" s="1" t="s">
        <v>465</v>
      </c>
      <c r="J294">
        <v>1200</v>
      </c>
      <c r="K294" s="1" t="s">
        <v>469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 s="1" t="s">
        <v>149</v>
      </c>
      <c r="B295" s="1" t="s">
        <v>150</v>
      </c>
      <c r="C295" s="1" t="s">
        <v>42</v>
      </c>
      <c r="D295" s="1" t="s">
        <v>452</v>
      </c>
      <c r="E295">
        <v>46</v>
      </c>
      <c r="F295" s="10" t="str">
        <f>IF(final_data[[#This Row],[Total_applicants]]=0,"unknown","-")</f>
        <v>-</v>
      </c>
      <c r="G295" s="5">
        <v>80865</v>
      </c>
      <c r="H295" s="1" t="s">
        <v>43</v>
      </c>
      <c r="I295" s="1" t="s">
        <v>465</v>
      </c>
      <c r="J295">
        <v>1200</v>
      </c>
      <c r="K295" s="1" t="s">
        <v>469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 s="1" t="s">
        <v>149</v>
      </c>
      <c r="B296" s="1" t="s">
        <v>150</v>
      </c>
      <c r="C296" s="1" t="s">
        <v>85</v>
      </c>
      <c r="D296" s="1" t="s">
        <v>451</v>
      </c>
      <c r="E296">
        <v>104</v>
      </c>
      <c r="F296" s="10" t="str">
        <f>IF(final_data[[#This Row],[Total_applicants]]=0,"unknown","-")</f>
        <v>-</v>
      </c>
      <c r="G296" s="5">
        <v>80865</v>
      </c>
      <c r="H296" s="1" t="s">
        <v>43</v>
      </c>
      <c r="I296" s="1" t="s">
        <v>465</v>
      </c>
      <c r="J296">
        <v>1200</v>
      </c>
      <c r="K296" s="1" t="s">
        <v>469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 s="1" t="s">
        <v>149</v>
      </c>
      <c r="B297" s="1" t="s">
        <v>150</v>
      </c>
      <c r="C297" s="1" t="s">
        <v>153</v>
      </c>
      <c r="D297" s="1" t="s">
        <v>449</v>
      </c>
      <c r="E297">
        <v>71</v>
      </c>
      <c r="F297" s="10" t="str">
        <f>IF(final_data[[#This Row],[Total_applicants]]=0,"unknown","-")</f>
        <v>-</v>
      </c>
      <c r="G297" s="5">
        <v>80865</v>
      </c>
      <c r="H297" s="1" t="s">
        <v>43</v>
      </c>
      <c r="I297" s="1" t="s">
        <v>465</v>
      </c>
      <c r="J297">
        <v>1200</v>
      </c>
      <c r="K297" s="1" t="s">
        <v>469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 s="1" t="s">
        <v>149</v>
      </c>
      <c r="B298" s="1" t="s">
        <v>150</v>
      </c>
      <c r="C298" s="1" t="s">
        <v>42</v>
      </c>
      <c r="D298" s="1" t="s">
        <v>449</v>
      </c>
      <c r="E298">
        <v>50</v>
      </c>
      <c r="F298" s="10" t="str">
        <f>IF(final_data[[#This Row],[Total_applicants]]=0,"unknown","-")</f>
        <v>-</v>
      </c>
      <c r="G298" s="5">
        <v>80865</v>
      </c>
      <c r="H298" s="1" t="s">
        <v>43</v>
      </c>
      <c r="I298" s="1" t="s">
        <v>465</v>
      </c>
      <c r="J298">
        <v>1200</v>
      </c>
      <c r="K298" s="1" t="s">
        <v>469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 s="1" t="s">
        <v>149</v>
      </c>
      <c r="B299" s="1" t="s">
        <v>150</v>
      </c>
      <c r="C299" s="1" t="s">
        <v>154</v>
      </c>
      <c r="D299" s="1" t="s">
        <v>449</v>
      </c>
      <c r="E299">
        <v>3</v>
      </c>
      <c r="F299" s="10" t="str">
        <f>IF(final_data[[#This Row],[Total_applicants]]=0,"unknown","-")</f>
        <v>-</v>
      </c>
      <c r="G299" s="5">
        <v>80865</v>
      </c>
      <c r="H299" s="1" t="s">
        <v>43</v>
      </c>
      <c r="I299" s="1" t="s">
        <v>465</v>
      </c>
      <c r="J299">
        <v>1200</v>
      </c>
      <c r="K299" s="1" t="s">
        <v>469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 s="1" t="s">
        <v>149</v>
      </c>
      <c r="B300" s="1" t="s">
        <v>150</v>
      </c>
      <c r="C300" s="1" t="s">
        <v>55</v>
      </c>
      <c r="D300" s="1" t="s">
        <v>452</v>
      </c>
      <c r="E300">
        <v>42</v>
      </c>
      <c r="F300" s="10" t="str">
        <f>IF(final_data[[#This Row],[Total_applicants]]=0,"unknown","-")</f>
        <v>-</v>
      </c>
      <c r="G300" s="5">
        <v>80865</v>
      </c>
      <c r="H300" s="1" t="s">
        <v>43</v>
      </c>
      <c r="I300" s="1" t="s">
        <v>466</v>
      </c>
      <c r="J300">
        <v>1200</v>
      </c>
      <c r="K300" s="1" t="s">
        <v>469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 s="1" t="s">
        <v>149</v>
      </c>
      <c r="B301" s="1" t="s">
        <v>150</v>
      </c>
      <c r="C301" s="1" t="s">
        <v>155</v>
      </c>
      <c r="D301" s="1" t="s">
        <v>455</v>
      </c>
      <c r="E301">
        <v>0</v>
      </c>
      <c r="F301" s="10" t="str">
        <f>IF(final_data[[#This Row],[Total_applicants]]=0,"unknown","-")</f>
        <v>unknown</v>
      </c>
      <c r="G301" s="5">
        <v>80865</v>
      </c>
      <c r="H301" s="1" t="s">
        <v>43</v>
      </c>
      <c r="I301" s="1" t="s">
        <v>465</v>
      </c>
      <c r="J301">
        <v>1200</v>
      </c>
      <c r="K301" s="1" t="s">
        <v>469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 s="1" t="s">
        <v>149</v>
      </c>
      <c r="B302" s="1" t="s">
        <v>150</v>
      </c>
      <c r="C302" s="1" t="s">
        <v>45</v>
      </c>
      <c r="D302" s="1" t="s">
        <v>452</v>
      </c>
      <c r="E302">
        <v>26</v>
      </c>
      <c r="F302" s="10" t="str">
        <f>IF(final_data[[#This Row],[Total_applicants]]=0,"unknown","-")</f>
        <v>-</v>
      </c>
      <c r="G302" s="5">
        <v>80865</v>
      </c>
      <c r="H302" s="1" t="s">
        <v>43</v>
      </c>
      <c r="I302" s="1" t="s">
        <v>465</v>
      </c>
      <c r="J302">
        <v>1200</v>
      </c>
      <c r="K302" s="1" t="s">
        <v>469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 s="1" t="s">
        <v>149</v>
      </c>
      <c r="B303" s="1" t="s">
        <v>150</v>
      </c>
      <c r="C303" s="1" t="s">
        <v>156</v>
      </c>
      <c r="D303" s="1" t="s">
        <v>451</v>
      </c>
      <c r="E303">
        <v>0</v>
      </c>
      <c r="F303" s="10" t="str">
        <f>IF(final_data[[#This Row],[Total_applicants]]=0,"unknown","-")</f>
        <v>unknown</v>
      </c>
      <c r="G303" s="5">
        <v>80865</v>
      </c>
      <c r="H303" s="1" t="s">
        <v>43</v>
      </c>
      <c r="I303" s="1" t="s">
        <v>465</v>
      </c>
      <c r="J303">
        <v>1200</v>
      </c>
      <c r="K303" s="1" t="s">
        <v>469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 s="1" t="s">
        <v>149</v>
      </c>
      <c r="B304" s="1" t="s">
        <v>150</v>
      </c>
      <c r="C304" s="1" t="s">
        <v>157</v>
      </c>
      <c r="D304" s="1" t="s">
        <v>452</v>
      </c>
      <c r="E304">
        <v>70</v>
      </c>
      <c r="F304" s="10" t="str">
        <f>IF(final_data[[#This Row],[Total_applicants]]=0,"unknown","-")</f>
        <v>-</v>
      </c>
      <c r="G304" s="5">
        <v>80865</v>
      </c>
      <c r="H304" s="1" t="s">
        <v>43</v>
      </c>
      <c r="I304" s="1" t="s">
        <v>465</v>
      </c>
      <c r="J304">
        <v>1200</v>
      </c>
      <c r="K304" s="1" t="s">
        <v>469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 s="1" t="s">
        <v>149</v>
      </c>
      <c r="B305" s="1" t="s">
        <v>150</v>
      </c>
      <c r="C305" s="1" t="s">
        <v>154</v>
      </c>
      <c r="D305" s="1" t="s">
        <v>452</v>
      </c>
      <c r="E305">
        <v>95</v>
      </c>
      <c r="F305" s="10" t="str">
        <f>IF(final_data[[#This Row],[Total_applicants]]=0,"unknown","-")</f>
        <v>-</v>
      </c>
      <c r="G305" s="5">
        <v>80865</v>
      </c>
      <c r="H305" s="1" t="s">
        <v>158</v>
      </c>
      <c r="I305" s="1" t="s">
        <v>465</v>
      </c>
      <c r="J305">
        <v>1200</v>
      </c>
      <c r="K305" s="1" t="s">
        <v>469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 s="1" t="s">
        <v>149</v>
      </c>
      <c r="B306" s="1" t="s">
        <v>150</v>
      </c>
      <c r="C306" s="1" t="s">
        <v>159</v>
      </c>
      <c r="D306" s="1" t="s">
        <v>449</v>
      </c>
      <c r="E306">
        <v>9</v>
      </c>
      <c r="F306" s="10" t="str">
        <f>IF(final_data[[#This Row],[Total_applicants]]=0,"unknown","-")</f>
        <v>-</v>
      </c>
      <c r="G306" s="5">
        <v>80865</v>
      </c>
      <c r="H306" s="1" t="s">
        <v>43</v>
      </c>
      <c r="I306" s="1" t="s">
        <v>465</v>
      </c>
      <c r="J306">
        <v>1200</v>
      </c>
      <c r="K306" s="1" t="s">
        <v>469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 s="1" t="s">
        <v>149</v>
      </c>
      <c r="B307" s="1" t="s">
        <v>150</v>
      </c>
      <c r="C307" s="1" t="s">
        <v>160</v>
      </c>
      <c r="D307" s="1" t="s">
        <v>459</v>
      </c>
      <c r="E307">
        <v>76</v>
      </c>
      <c r="F307" s="10" t="str">
        <f>IF(final_data[[#This Row],[Total_applicants]]=0,"unknown","-")</f>
        <v>-</v>
      </c>
      <c r="G307" s="5">
        <v>80865</v>
      </c>
      <c r="H307" s="1" t="s">
        <v>43</v>
      </c>
      <c r="I307" s="1" t="s">
        <v>465</v>
      </c>
      <c r="J307">
        <v>1200</v>
      </c>
      <c r="K307" s="1" t="s">
        <v>469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 s="1" t="s">
        <v>149</v>
      </c>
      <c r="B308" s="1" t="s">
        <v>150</v>
      </c>
      <c r="C308" s="1" t="s">
        <v>161</v>
      </c>
      <c r="D308" s="1" t="s">
        <v>452</v>
      </c>
      <c r="E308">
        <v>13</v>
      </c>
      <c r="F308" s="10" t="str">
        <f>IF(final_data[[#This Row],[Total_applicants]]=0,"unknown","-")</f>
        <v>-</v>
      </c>
      <c r="G308" s="5">
        <v>80865</v>
      </c>
      <c r="H308" s="1" t="s">
        <v>43</v>
      </c>
      <c r="I308" s="1" t="s">
        <v>466</v>
      </c>
      <c r="J308">
        <v>1200</v>
      </c>
      <c r="K308" s="1" t="s">
        <v>469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 s="1" t="s">
        <v>149</v>
      </c>
      <c r="B309" s="1" t="s">
        <v>150</v>
      </c>
      <c r="C309" s="1" t="s">
        <v>42</v>
      </c>
      <c r="D309" s="1" t="s">
        <v>452</v>
      </c>
      <c r="E309">
        <v>43</v>
      </c>
      <c r="F309" s="10" t="str">
        <f>IF(final_data[[#This Row],[Total_applicants]]=0,"unknown","-")</f>
        <v>-</v>
      </c>
      <c r="G309" s="5">
        <v>80865</v>
      </c>
      <c r="H309" s="1" t="s">
        <v>43</v>
      </c>
      <c r="I309" s="1" t="s">
        <v>465</v>
      </c>
      <c r="J309">
        <v>1200</v>
      </c>
      <c r="K309" s="1" t="s">
        <v>469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 s="1" t="s">
        <v>149</v>
      </c>
      <c r="B310" s="1" t="s">
        <v>150</v>
      </c>
      <c r="C310" s="1" t="s">
        <v>162</v>
      </c>
      <c r="D310" s="1" t="s">
        <v>459</v>
      </c>
      <c r="E310">
        <v>0</v>
      </c>
      <c r="F310" s="10" t="str">
        <f>IF(final_data[[#This Row],[Total_applicants]]=0,"unknown","-")</f>
        <v>unknown</v>
      </c>
      <c r="G310" s="5">
        <v>80865</v>
      </c>
      <c r="H310" s="1" t="s">
        <v>43</v>
      </c>
      <c r="I310" s="1" t="s">
        <v>465</v>
      </c>
      <c r="J310">
        <v>1200</v>
      </c>
      <c r="K310" s="1" t="s">
        <v>469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 s="1" t="s">
        <v>149</v>
      </c>
      <c r="B311" s="1" t="s">
        <v>150</v>
      </c>
      <c r="C311" s="1" t="s">
        <v>163</v>
      </c>
      <c r="D311" s="1" t="s">
        <v>449</v>
      </c>
      <c r="E311">
        <v>49</v>
      </c>
      <c r="F311" s="10" t="str">
        <f>IF(final_data[[#This Row],[Total_applicants]]=0,"unknown","-")</f>
        <v>-</v>
      </c>
      <c r="G311" s="5">
        <v>80865</v>
      </c>
      <c r="H311" s="1" t="s">
        <v>43</v>
      </c>
      <c r="I311" s="1" t="s">
        <v>466</v>
      </c>
      <c r="J311">
        <v>1200</v>
      </c>
      <c r="K311" s="1" t="s">
        <v>469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 s="1" t="s">
        <v>149</v>
      </c>
      <c r="B312" s="1" t="s">
        <v>150</v>
      </c>
      <c r="C312" s="1" t="s">
        <v>42</v>
      </c>
      <c r="D312" s="1" t="s">
        <v>449</v>
      </c>
      <c r="E312">
        <v>51</v>
      </c>
      <c r="F312" s="10" t="str">
        <f>IF(final_data[[#This Row],[Total_applicants]]=0,"unknown","-")</f>
        <v>-</v>
      </c>
      <c r="G312" s="5">
        <v>80865</v>
      </c>
      <c r="H312" s="1" t="s">
        <v>43</v>
      </c>
      <c r="I312" s="1" t="s">
        <v>465</v>
      </c>
      <c r="J312">
        <v>1200</v>
      </c>
      <c r="K312" s="1" t="s">
        <v>469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 s="1" t="s">
        <v>149</v>
      </c>
      <c r="B313" s="1" t="s">
        <v>150</v>
      </c>
      <c r="C313" s="1" t="s">
        <v>164</v>
      </c>
      <c r="D313" s="1" t="s">
        <v>449</v>
      </c>
      <c r="E313">
        <v>92</v>
      </c>
      <c r="F313" s="10" t="str">
        <f>IF(final_data[[#This Row],[Total_applicants]]=0,"unknown","-")</f>
        <v>-</v>
      </c>
      <c r="G313" s="5">
        <v>80865</v>
      </c>
      <c r="H313" s="1" t="s">
        <v>43</v>
      </c>
      <c r="I313" s="1" t="s">
        <v>466</v>
      </c>
      <c r="J313">
        <v>1200</v>
      </c>
      <c r="K313" s="1" t="s">
        <v>469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 s="1" t="s">
        <v>149</v>
      </c>
      <c r="B314" s="1" t="s">
        <v>150</v>
      </c>
      <c r="C314" s="1" t="s">
        <v>165</v>
      </c>
      <c r="D314" s="1" t="s">
        <v>452</v>
      </c>
      <c r="E314">
        <v>35</v>
      </c>
      <c r="F314" s="10" t="str">
        <f>IF(final_data[[#This Row],[Total_applicants]]=0,"unknown","-")</f>
        <v>-</v>
      </c>
      <c r="G314" s="5">
        <v>80865</v>
      </c>
      <c r="H314" s="1" t="s">
        <v>43</v>
      </c>
      <c r="I314" s="1" t="s">
        <v>465</v>
      </c>
      <c r="J314">
        <v>1200</v>
      </c>
      <c r="K314" s="1" t="s">
        <v>469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 s="1" t="s">
        <v>149</v>
      </c>
      <c r="B315" s="1" t="s">
        <v>150</v>
      </c>
      <c r="C315" s="1" t="s">
        <v>166</v>
      </c>
      <c r="D315" s="1" t="s">
        <v>451</v>
      </c>
      <c r="E315">
        <v>3</v>
      </c>
      <c r="F315" s="10" t="str">
        <f>IF(final_data[[#This Row],[Total_applicants]]=0,"unknown","-")</f>
        <v>-</v>
      </c>
      <c r="G315" s="5">
        <v>80865</v>
      </c>
      <c r="H315" s="1" t="s">
        <v>43</v>
      </c>
      <c r="I315" s="1" t="s">
        <v>465</v>
      </c>
      <c r="J315">
        <v>1200</v>
      </c>
      <c r="K315" s="1" t="s">
        <v>469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 s="1" t="s">
        <v>149</v>
      </c>
      <c r="B316" s="1" t="s">
        <v>150</v>
      </c>
      <c r="C316" s="1" t="s">
        <v>154</v>
      </c>
      <c r="D316" s="1" t="s">
        <v>452</v>
      </c>
      <c r="E316">
        <v>75</v>
      </c>
      <c r="F316" s="10" t="str">
        <f>IF(final_data[[#This Row],[Total_applicants]]=0,"unknown","-")</f>
        <v>-</v>
      </c>
      <c r="G316" s="5">
        <v>80865</v>
      </c>
      <c r="H316" s="1" t="s">
        <v>158</v>
      </c>
      <c r="I316" s="1" t="s">
        <v>465</v>
      </c>
      <c r="J316">
        <v>1200</v>
      </c>
      <c r="K316" s="1" t="s">
        <v>469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 s="1" t="s">
        <v>149</v>
      </c>
      <c r="B317" s="1" t="s">
        <v>150</v>
      </c>
      <c r="C317" s="1" t="s">
        <v>42</v>
      </c>
      <c r="D317" s="1" t="s">
        <v>452</v>
      </c>
      <c r="E317">
        <v>47</v>
      </c>
      <c r="F317" s="10" t="str">
        <f>IF(final_data[[#This Row],[Total_applicants]]=0,"unknown","-")</f>
        <v>-</v>
      </c>
      <c r="G317" s="5">
        <v>80865</v>
      </c>
      <c r="H317" s="1" t="s">
        <v>43</v>
      </c>
      <c r="I317" s="1" t="s">
        <v>465</v>
      </c>
      <c r="J317">
        <v>1200</v>
      </c>
      <c r="K317" s="1" t="s">
        <v>469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 s="1" t="s">
        <v>149</v>
      </c>
      <c r="B318" s="1" t="s">
        <v>150</v>
      </c>
      <c r="C318" s="1" t="s">
        <v>167</v>
      </c>
      <c r="D318" s="1" t="s">
        <v>452</v>
      </c>
      <c r="E318">
        <v>33</v>
      </c>
      <c r="F318" s="10" t="str">
        <f>IF(final_data[[#This Row],[Total_applicants]]=0,"unknown","-")</f>
        <v>-</v>
      </c>
      <c r="G318" s="5">
        <v>80865</v>
      </c>
      <c r="H318" s="1" t="s">
        <v>43</v>
      </c>
      <c r="I318" s="1" t="s">
        <v>466</v>
      </c>
      <c r="J318">
        <v>1200</v>
      </c>
      <c r="K318" s="1" t="s">
        <v>469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 s="1" t="s">
        <v>149</v>
      </c>
      <c r="B319" s="1" t="s">
        <v>150</v>
      </c>
      <c r="C319" s="1" t="s">
        <v>42</v>
      </c>
      <c r="D319" s="1" t="s">
        <v>454</v>
      </c>
      <c r="E319">
        <v>29</v>
      </c>
      <c r="F319" s="10" t="str">
        <f>IF(final_data[[#This Row],[Total_applicants]]=0,"unknown","-")</f>
        <v>-</v>
      </c>
      <c r="G319" s="5">
        <v>80865</v>
      </c>
      <c r="H319" s="1" t="s">
        <v>43</v>
      </c>
      <c r="I319" s="1" t="s">
        <v>465</v>
      </c>
      <c r="J319">
        <v>1200</v>
      </c>
      <c r="K319" s="1" t="s">
        <v>469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 s="1" t="s">
        <v>149</v>
      </c>
      <c r="B320" s="1" t="s">
        <v>150</v>
      </c>
      <c r="C320" s="1" t="s">
        <v>168</v>
      </c>
      <c r="D320" s="1" t="s">
        <v>458</v>
      </c>
      <c r="E320">
        <v>0</v>
      </c>
      <c r="F320" s="10" t="str">
        <f>IF(final_data[[#This Row],[Total_applicants]]=0,"unknown","-")</f>
        <v>unknown</v>
      </c>
      <c r="G320" s="5">
        <v>80865</v>
      </c>
      <c r="H320" s="1" t="s">
        <v>43</v>
      </c>
      <c r="I320" s="1" t="s">
        <v>465</v>
      </c>
      <c r="J320">
        <v>1200</v>
      </c>
      <c r="K320" s="1" t="s">
        <v>469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 s="1" t="s">
        <v>149</v>
      </c>
      <c r="B321" s="1" t="s">
        <v>150</v>
      </c>
      <c r="C321" s="1" t="s">
        <v>169</v>
      </c>
      <c r="D321" s="1" t="s">
        <v>452</v>
      </c>
      <c r="E321">
        <v>51</v>
      </c>
      <c r="F321" s="10" t="str">
        <f>IF(final_data[[#This Row],[Total_applicants]]=0,"unknown","-")</f>
        <v>-</v>
      </c>
      <c r="G321" s="5">
        <v>80865</v>
      </c>
      <c r="H321" s="1" t="s">
        <v>158</v>
      </c>
      <c r="I321" s="1" t="s">
        <v>466</v>
      </c>
      <c r="J321">
        <v>1200</v>
      </c>
      <c r="K321" s="1" t="s">
        <v>469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 s="1" t="s">
        <v>149</v>
      </c>
      <c r="B322" s="1" t="s">
        <v>150</v>
      </c>
      <c r="C322" s="1" t="s">
        <v>165</v>
      </c>
      <c r="D322" s="1" t="s">
        <v>451</v>
      </c>
      <c r="E322">
        <v>1</v>
      </c>
      <c r="F322" s="10" t="str">
        <f>IF(final_data[[#This Row],[Total_applicants]]=0,"unknown","-")</f>
        <v>-</v>
      </c>
      <c r="G322" s="5">
        <v>80865</v>
      </c>
      <c r="H322" s="1" t="s">
        <v>43</v>
      </c>
      <c r="I322" s="1" t="s">
        <v>465</v>
      </c>
      <c r="J322">
        <v>1200</v>
      </c>
      <c r="K322" s="1" t="s">
        <v>469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 s="1" t="s">
        <v>149</v>
      </c>
      <c r="B323" s="1" t="s">
        <v>150</v>
      </c>
      <c r="C323" s="1" t="s">
        <v>42</v>
      </c>
      <c r="D323" s="1" t="s">
        <v>454</v>
      </c>
      <c r="E323">
        <v>27</v>
      </c>
      <c r="F323" s="10" t="str">
        <f>IF(final_data[[#This Row],[Total_applicants]]=0,"unknown","-")</f>
        <v>-</v>
      </c>
      <c r="G323" s="5">
        <v>80865</v>
      </c>
      <c r="H323" s="1" t="s">
        <v>43</v>
      </c>
      <c r="I323" s="1" t="s">
        <v>465</v>
      </c>
      <c r="J323">
        <v>1200</v>
      </c>
      <c r="K323" s="1" t="s">
        <v>469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 s="1" t="s">
        <v>149</v>
      </c>
      <c r="B324" s="1" t="s">
        <v>150</v>
      </c>
      <c r="C324" s="1" t="s">
        <v>170</v>
      </c>
      <c r="D324" s="1" t="s">
        <v>451</v>
      </c>
      <c r="E324">
        <v>2</v>
      </c>
      <c r="F324" s="10" t="str">
        <f>IF(final_data[[#This Row],[Total_applicants]]=0,"unknown","-")</f>
        <v>-</v>
      </c>
      <c r="G324" s="5">
        <v>80865</v>
      </c>
      <c r="H324" s="1" t="s">
        <v>43</v>
      </c>
      <c r="I324" s="1" t="s">
        <v>466</v>
      </c>
      <c r="J324">
        <v>1200</v>
      </c>
      <c r="K324" s="1" t="s">
        <v>469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 s="1" t="s">
        <v>149</v>
      </c>
      <c r="B325" s="1" t="s">
        <v>150</v>
      </c>
      <c r="C325" s="1" t="s">
        <v>171</v>
      </c>
      <c r="D325" s="1" t="s">
        <v>452</v>
      </c>
      <c r="E325">
        <v>12</v>
      </c>
      <c r="F325" s="10" t="str">
        <f>IF(final_data[[#This Row],[Total_applicants]]=0,"unknown","-")</f>
        <v>-</v>
      </c>
      <c r="G325" s="5">
        <v>80865</v>
      </c>
      <c r="H325" s="1" t="s">
        <v>43</v>
      </c>
      <c r="I325" s="1" t="s">
        <v>465</v>
      </c>
      <c r="J325">
        <v>1200</v>
      </c>
      <c r="K325" s="1" t="s">
        <v>469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 s="1" t="s">
        <v>149</v>
      </c>
      <c r="B326" s="1" t="s">
        <v>150</v>
      </c>
      <c r="C326" s="1" t="s">
        <v>167</v>
      </c>
      <c r="D326" s="1" t="s">
        <v>455</v>
      </c>
      <c r="E326">
        <v>1</v>
      </c>
      <c r="F326" s="10" t="str">
        <f>IF(final_data[[#This Row],[Total_applicants]]=0,"unknown","-")</f>
        <v>-</v>
      </c>
      <c r="G326" s="5">
        <v>80865</v>
      </c>
      <c r="H326" s="1" t="s">
        <v>43</v>
      </c>
      <c r="I326" s="1" t="s">
        <v>466</v>
      </c>
      <c r="J326">
        <v>1200</v>
      </c>
      <c r="K326" s="1" t="s">
        <v>469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</row>
    <row r="327" spans="1:42" x14ac:dyDescent="0.25">
      <c r="A327" s="1" t="s">
        <v>149</v>
      </c>
      <c r="B327" s="1" t="s">
        <v>150</v>
      </c>
      <c r="C327" s="1" t="s">
        <v>172</v>
      </c>
      <c r="D327" s="1" t="s">
        <v>449</v>
      </c>
      <c r="E327">
        <v>4</v>
      </c>
      <c r="F327" s="10" t="str">
        <f>IF(final_data[[#This Row],[Total_applicants]]=0,"unknown","-")</f>
        <v>-</v>
      </c>
      <c r="G327" s="5">
        <v>80865</v>
      </c>
      <c r="H327" s="1" t="s">
        <v>43</v>
      </c>
      <c r="I327" s="1" t="s">
        <v>465</v>
      </c>
      <c r="J327">
        <v>1200</v>
      </c>
      <c r="K327" s="1" t="s">
        <v>469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 s="1" t="s">
        <v>149</v>
      </c>
      <c r="B328" s="1" t="s">
        <v>150</v>
      </c>
      <c r="C328" s="1" t="s">
        <v>173</v>
      </c>
      <c r="D328" s="1" t="s">
        <v>452</v>
      </c>
      <c r="E328">
        <v>3</v>
      </c>
      <c r="F328" s="10" t="str">
        <f>IF(final_data[[#This Row],[Total_applicants]]=0,"unknown","-")</f>
        <v>-</v>
      </c>
      <c r="G328" s="5">
        <v>80865</v>
      </c>
      <c r="H328" s="1" t="s">
        <v>43</v>
      </c>
      <c r="I328" s="1" t="s">
        <v>466</v>
      </c>
      <c r="J328">
        <v>1200</v>
      </c>
      <c r="K328" s="1" t="s">
        <v>469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 s="1" t="s">
        <v>149</v>
      </c>
      <c r="B329" s="1" t="s">
        <v>150</v>
      </c>
      <c r="C329" s="1" t="s">
        <v>174</v>
      </c>
      <c r="D329" s="1" t="s">
        <v>451</v>
      </c>
      <c r="E329">
        <v>0</v>
      </c>
      <c r="F329" s="10" t="str">
        <f>IF(final_data[[#This Row],[Total_applicants]]=0,"unknown","-")</f>
        <v>unknown</v>
      </c>
      <c r="G329" s="5">
        <v>80865</v>
      </c>
      <c r="H329" s="1" t="s">
        <v>43</v>
      </c>
      <c r="I329" s="1" t="s">
        <v>465</v>
      </c>
      <c r="J329">
        <v>1200</v>
      </c>
      <c r="K329" s="1" t="s">
        <v>469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 s="1" t="s">
        <v>149</v>
      </c>
      <c r="B330" s="1" t="s">
        <v>150</v>
      </c>
      <c r="C330" s="1" t="s">
        <v>175</v>
      </c>
      <c r="D330" s="1" t="s">
        <v>449</v>
      </c>
      <c r="E330">
        <v>0</v>
      </c>
      <c r="F330" s="10" t="str">
        <f>IF(final_data[[#This Row],[Total_applicants]]=0,"unknown","-")</f>
        <v>unknown</v>
      </c>
      <c r="G330" s="5">
        <v>80865</v>
      </c>
      <c r="H330" s="1" t="s">
        <v>43</v>
      </c>
      <c r="I330" s="1" t="s">
        <v>466</v>
      </c>
      <c r="J330">
        <v>1200</v>
      </c>
      <c r="K330" s="1" t="s">
        <v>469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 s="1" t="s">
        <v>149</v>
      </c>
      <c r="B331" s="1" t="s">
        <v>150</v>
      </c>
      <c r="C331" s="1" t="s">
        <v>176</v>
      </c>
      <c r="D331" s="1" t="s">
        <v>452</v>
      </c>
      <c r="E331">
        <v>19</v>
      </c>
      <c r="F331" s="10" t="str">
        <f>IF(final_data[[#This Row],[Total_applicants]]=0,"unknown","-")</f>
        <v>-</v>
      </c>
      <c r="G331" s="5">
        <v>80865</v>
      </c>
      <c r="H331" s="1" t="s">
        <v>43</v>
      </c>
      <c r="I331" s="1" t="s">
        <v>465</v>
      </c>
      <c r="J331">
        <v>1200</v>
      </c>
      <c r="K331" s="1" t="s">
        <v>469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 s="1" t="s">
        <v>149</v>
      </c>
      <c r="B332" s="1" t="s">
        <v>150</v>
      </c>
      <c r="C332" s="1" t="s">
        <v>167</v>
      </c>
      <c r="D332" s="1" t="s">
        <v>452</v>
      </c>
      <c r="E332">
        <v>32</v>
      </c>
      <c r="F332" s="10" t="str">
        <f>IF(final_data[[#This Row],[Total_applicants]]=0,"unknown","-")</f>
        <v>-</v>
      </c>
      <c r="G332" s="5">
        <v>80865</v>
      </c>
      <c r="H332" s="1" t="s">
        <v>43</v>
      </c>
      <c r="I332" s="1" t="s">
        <v>466</v>
      </c>
      <c r="J332">
        <v>1200</v>
      </c>
      <c r="K332" s="1" t="s">
        <v>469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 s="1" t="s">
        <v>149</v>
      </c>
      <c r="B333" s="1" t="s">
        <v>150</v>
      </c>
      <c r="C333" s="1" t="s">
        <v>177</v>
      </c>
      <c r="D333" s="1" t="s">
        <v>449</v>
      </c>
      <c r="E333">
        <v>6</v>
      </c>
      <c r="F333" s="10" t="str">
        <f>IF(final_data[[#This Row],[Total_applicants]]=0,"unknown","-")</f>
        <v>-</v>
      </c>
      <c r="G333" s="5">
        <v>80865</v>
      </c>
      <c r="H333" s="1" t="s">
        <v>43</v>
      </c>
      <c r="I333" s="1" t="s">
        <v>466</v>
      </c>
      <c r="J333">
        <v>1200</v>
      </c>
      <c r="K333" s="1" t="s">
        <v>469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 s="1" t="s">
        <v>149</v>
      </c>
      <c r="B334" s="1" t="s">
        <v>150</v>
      </c>
      <c r="C334" s="1" t="s">
        <v>49</v>
      </c>
      <c r="D334" s="1" t="s">
        <v>458</v>
      </c>
      <c r="E334">
        <v>39</v>
      </c>
      <c r="F334" s="10" t="str">
        <f>IF(final_data[[#This Row],[Total_applicants]]=0,"unknown","-")</f>
        <v>-</v>
      </c>
      <c r="G334" s="5">
        <v>80865</v>
      </c>
      <c r="H334" s="1" t="s">
        <v>43</v>
      </c>
      <c r="I334" s="1" t="s">
        <v>466</v>
      </c>
      <c r="J334">
        <v>1200</v>
      </c>
      <c r="K334" s="1" t="s">
        <v>469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 s="1" t="s">
        <v>149</v>
      </c>
      <c r="B335" s="1" t="s">
        <v>150</v>
      </c>
      <c r="C335" s="1" t="s">
        <v>178</v>
      </c>
      <c r="D335" s="1" t="s">
        <v>452</v>
      </c>
      <c r="E335">
        <v>19</v>
      </c>
      <c r="F335" s="10" t="str">
        <f>IF(final_data[[#This Row],[Total_applicants]]=0,"unknown","-")</f>
        <v>-</v>
      </c>
      <c r="G335" s="5">
        <v>80865</v>
      </c>
      <c r="H335" s="1" t="s">
        <v>43</v>
      </c>
      <c r="I335" s="1" t="s">
        <v>465</v>
      </c>
      <c r="J335">
        <v>1200</v>
      </c>
      <c r="K335" s="1" t="s">
        <v>469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 s="1" t="s">
        <v>149</v>
      </c>
      <c r="B336" s="1" t="s">
        <v>150</v>
      </c>
      <c r="C336" s="1" t="s">
        <v>42</v>
      </c>
      <c r="D336" s="1" t="s">
        <v>449</v>
      </c>
      <c r="E336">
        <v>53</v>
      </c>
      <c r="F336" s="10" t="str">
        <f>IF(final_data[[#This Row],[Total_applicants]]=0,"unknown","-")</f>
        <v>-</v>
      </c>
      <c r="G336" s="5">
        <v>80865</v>
      </c>
      <c r="H336" s="1" t="s">
        <v>43</v>
      </c>
      <c r="I336" s="1" t="s">
        <v>465</v>
      </c>
      <c r="J336">
        <v>1200</v>
      </c>
      <c r="K336" s="1" t="s">
        <v>469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 s="1" t="s">
        <v>149</v>
      </c>
      <c r="B337" s="1" t="s">
        <v>150</v>
      </c>
      <c r="C337" s="1" t="s">
        <v>80</v>
      </c>
      <c r="D337" s="1" t="s">
        <v>452</v>
      </c>
      <c r="E337">
        <v>5</v>
      </c>
      <c r="F337" s="10" t="str">
        <f>IF(final_data[[#This Row],[Total_applicants]]=0,"unknown","-")</f>
        <v>-</v>
      </c>
      <c r="G337" s="5">
        <v>80865</v>
      </c>
      <c r="H337" s="1" t="s">
        <v>43</v>
      </c>
      <c r="I337" s="1" t="s">
        <v>466</v>
      </c>
      <c r="J337">
        <v>1200</v>
      </c>
      <c r="K337" s="1" t="s">
        <v>469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 s="1" t="s">
        <v>149</v>
      </c>
      <c r="B338" s="1" t="s">
        <v>150</v>
      </c>
      <c r="C338" s="1" t="s">
        <v>165</v>
      </c>
      <c r="D338" s="1" t="s">
        <v>451</v>
      </c>
      <c r="E338">
        <v>2</v>
      </c>
      <c r="F338" s="10" t="str">
        <f>IF(final_data[[#This Row],[Total_applicants]]=0,"unknown","-")</f>
        <v>-</v>
      </c>
      <c r="G338" s="5">
        <v>80865</v>
      </c>
      <c r="H338" s="1" t="s">
        <v>43</v>
      </c>
      <c r="I338" s="1" t="s">
        <v>465</v>
      </c>
      <c r="J338">
        <v>1200</v>
      </c>
      <c r="K338" s="1" t="s">
        <v>469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 s="1" t="s">
        <v>149</v>
      </c>
      <c r="B339" s="1" t="s">
        <v>150</v>
      </c>
      <c r="C339" s="1" t="s">
        <v>167</v>
      </c>
      <c r="D339" s="1" t="s">
        <v>452</v>
      </c>
      <c r="E339">
        <v>20</v>
      </c>
      <c r="F339" s="10" t="str">
        <f>IF(final_data[[#This Row],[Total_applicants]]=0,"unknown","-")</f>
        <v>-</v>
      </c>
      <c r="G339" s="5">
        <v>80865</v>
      </c>
      <c r="H339" s="1" t="s">
        <v>43</v>
      </c>
      <c r="I339" s="1" t="s">
        <v>466</v>
      </c>
      <c r="J339">
        <v>1200</v>
      </c>
      <c r="K339" s="1" t="s">
        <v>469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 s="1" t="s">
        <v>149</v>
      </c>
      <c r="B340" s="1" t="s">
        <v>150</v>
      </c>
      <c r="C340" s="1" t="s">
        <v>154</v>
      </c>
      <c r="D340" s="1" t="s">
        <v>451</v>
      </c>
      <c r="E340">
        <v>46</v>
      </c>
      <c r="F340" s="10" t="str">
        <f>IF(final_data[[#This Row],[Total_applicants]]=0,"unknown","-")</f>
        <v>-</v>
      </c>
      <c r="G340" s="5">
        <v>80865</v>
      </c>
      <c r="H340" s="1" t="s">
        <v>158</v>
      </c>
      <c r="I340" s="1" t="s">
        <v>465</v>
      </c>
      <c r="J340">
        <v>1200</v>
      </c>
      <c r="K340" s="1" t="s">
        <v>469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 s="1" t="s">
        <v>149</v>
      </c>
      <c r="B341" s="1" t="s">
        <v>150</v>
      </c>
      <c r="C341" s="1" t="s">
        <v>179</v>
      </c>
      <c r="D341" s="1" t="s">
        <v>460</v>
      </c>
      <c r="E341">
        <v>3</v>
      </c>
      <c r="F341" s="10" t="str">
        <f>IF(final_data[[#This Row],[Total_applicants]]=0,"unknown","-")</f>
        <v>-</v>
      </c>
      <c r="G341" s="5">
        <v>80865</v>
      </c>
      <c r="H341" s="1" t="s">
        <v>43</v>
      </c>
      <c r="I341" s="1" t="s">
        <v>466</v>
      </c>
      <c r="J341">
        <v>1200</v>
      </c>
      <c r="K341" s="1" t="s">
        <v>469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 s="1" t="s">
        <v>149</v>
      </c>
      <c r="B342" s="1" t="s">
        <v>150</v>
      </c>
      <c r="C342" s="1" t="s">
        <v>154</v>
      </c>
      <c r="D342" s="1" t="s">
        <v>455</v>
      </c>
      <c r="E342">
        <v>7</v>
      </c>
      <c r="F342" s="10" t="str">
        <f>IF(final_data[[#This Row],[Total_applicants]]=0,"unknown","-")</f>
        <v>-</v>
      </c>
      <c r="G342" s="5">
        <v>80865</v>
      </c>
      <c r="H342" s="1" t="s">
        <v>158</v>
      </c>
      <c r="I342" s="1" t="s">
        <v>465</v>
      </c>
      <c r="J342">
        <v>1200</v>
      </c>
      <c r="K342" s="1" t="s">
        <v>469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 s="1" t="s">
        <v>149</v>
      </c>
      <c r="B343" s="1" t="s">
        <v>150</v>
      </c>
      <c r="C343" s="1" t="s">
        <v>167</v>
      </c>
      <c r="D343" s="1" t="s">
        <v>452</v>
      </c>
      <c r="E343">
        <v>26</v>
      </c>
      <c r="F343" s="10" t="str">
        <f>IF(final_data[[#This Row],[Total_applicants]]=0,"unknown","-")</f>
        <v>-</v>
      </c>
      <c r="G343" s="5">
        <v>80865</v>
      </c>
      <c r="H343" s="1" t="s">
        <v>43</v>
      </c>
      <c r="I343" s="1" t="s">
        <v>466</v>
      </c>
      <c r="J343">
        <v>1200</v>
      </c>
      <c r="K343" s="1" t="s">
        <v>469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 s="1" t="s">
        <v>149</v>
      </c>
      <c r="B344" s="1" t="s">
        <v>150</v>
      </c>
      <c r="C344" s="1" t="s">
        <v>180</v>
      </c>
      <c r="D344" s="1" t="s">
        <v>449</v>
      </c>
      <c r="E344">
        <v>0</v>
      </c>
      <c r="F344" s="10" t="str">
        <f>IF(final_data[[#This Row],[Total_applicants]]=0,"unknown","-")</f>
        <v>unknown</v>
      </c>
      <c r="G344" s="5">
        <v>80865</v>
      </c>
      <c r="H344" s="1" t="s">
        <v>43</v>
      </c>
      <c r="I344" s="1" t="s">
        <v>465</v>
      </c>
      <c r="J344">
        <v>1200</v>
      </c>
      <c r="K344" s="1" t="s">
        <v>469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1</v>
      </c>
    </row>
    <row r="345" spans="1:42" x14ac:dyDescent="0.25">
      <c r="A345" s="1" t="s">
        <v>149</v>
      </c>
      <c r="B345" s="1" t="s">
        <v>150</v>
      </c>
      <c r="C345" s="1" t="s">
        <v>181</v>
      </c>
      <c r="D345" s="1" t="s">
        <v>449</v>
      </c>
      <c r="E345">
        <v>1</v>
      </c>
      <c r="F345" s="10" t="str">
        <f>IF(final_data[[#This Row],[Total_applicants]]=0,"unknown","-")</f>
        <v>-</v>
      </c>
      <c r="G345" s="5">
        <v>80865</v>
      </c>
      <c r="H345" s="1" t="s">
        <v>43</v>
      </c>
      <c r="I345" s="1" t="s">
        <v>466</v>
      </c>
      <c r="J345">
        <v>1200</v>
      </c>
      <c r="K345" s="1" t="s">
        <v>469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 s="1" t="s">
        <v>149</v>
      </c>
      <c r="B346" s="1" t="s">
        <v>150</v>
      </c>
      <c r="C346" s="1" t="s">
        <v>182</v>
      </c>
      <c r="D346" s="1" t="s">
        <v>452</v>
      </c>
      <c r="E346">
        <v>39</v>
      </c>
      <c r="F346" s="10" t="str">
        <f>IF(final_data[[#This Row],[Total_applicants]]=0,"unknown","-")</f>
        <v>-</v>
      </c>
      <c r="G346" s="5">
        <v>80865</v>
      </c>
      <c r="H346" s="1" t="s">
        <v>43</v>
      </c>
      <c r="I346" s="1" t="s">
        <v>465</v>
      </c>
      <c r="J346">
        <v>1200</v>
      </c>
      <c r="K346" s="1" t="s">
        <v>469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 s="1" t="s">
        <v>149</v>
      </c>
      <c r="B347" s="1" t="s">
        <v>150</v>
      </c>
      <c r="C347" s="1" t="s">
        <v>183</v>
      </c>
      <c r="D347" s="1" t="s">
        <v>452</v>
      </c>
      <c r="E347">
        <v>0</v>
      </c>
      <c r="F347" s="10" t="str">
        <f>IF(final_data[[#This Row],[Total_applicants]]=0,"unknown","-")</f>
        <v>unknown</v>
      </c>
      <c r="G347" s="5">
        <v>80865</v>
      </c>
      <c r="H347" s="1" t="s">
        <v>43</v>
      </c>
      <c r="I347" s="1" t="s">
        <v>465</v>
      </c>
      <c r="J347">
        <v>1200</v>
      </c>
      <c r="K347" s="1" t="s">
        <v>469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</row>
    <row r="348" spans="1:42" x14ac:dyDescent="0.25">
      <c r="A348" s="1" t="s">
        <v>149</v>
      </c>
      <c r="B348" s="1" t="s">
        <v>150</v>
      </c>
      <c r="C348" s="1" t="s">
        <v>184</v>
      </c>
      <c r="D348" s="1" t="s">
        <v>451</v>
      </c>
      <c r="E348">
        <v>8</v>
      </c>
      <c r="F348" s="10" t="str">
        <f>IF(final_data[[#This Row],[Total_applicants]]=0,"unknown","-")</f>
        <v>-</v>
      </c>
      <c r="G348" s="5">
        <v>80865</v>
      </c>
      <c r="H348" s="1" t="s">
        <v>43</v>
      </c>
      <c r="I348" s="1" t="s">
        <v>465</v>
      </c>
      <c r="J348">
        <v>1200</v>
      </c>
      <c r="K348" s="1" t="s">
        <v>469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 s="1" t="s">
        <v>149</v>
      </c>
      <c r="B349" s="1" t="s">
        <v>150</v>
      </c>
      <c r="C349" s="1" t="s">
        <v>172</v>
      </c>
      <c r="D349" s="1" t="s">
        <v>452</v>
      </c>
      <c r="E349">
        <v>64</v>
      </c>
      <c r="F349" s="10" t="str">
        <f>IF(final_data[[#This Row],[Total_applicants]]=0,"unknown","-")</f>
        <v>-</v>
      </c>
      <c r="G349" s="5">
        <v>80865</v>
      </c>
      <c r="H349" s="1" t="s">
        <v>43</v>
      </c>
      <c r="I349" s="1" t="s">
        <v>465</v>
      </c>
      <c r="J349">
        <v>1200</v>
      </c>
      <c r="K349" s="1" t="s">
        <v>469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 s="1" t="s">
        <v>149</v>
      </c>
      <c r="B350" s="1" t="s">
        <v>150</v>
      </c>
      <c r="C350" s="1" t="s">
        <v>42</v>
      </c>
      <c r="D350" s="1" t="s">
        <v>452</v>
      </c>
      <c r="E350">
        <v>15</v>
      </c>
      <c r="F350" s="10" t="str">
        <f>IF(final_data[[#This Row],[Total_applicants]]=0,"unknown","-")</f>
        <v>-</v>
      </c>
      <c r="G350" s="5">
        <v>80865</v>
      </c>
      <c r="H350" s="1" t="s">
        <v>43</v>
      </c>
      <c r="I350" s="1" t="s">
        <v>465</v>
      </c>
      <c r="J350">
        <v>1200</v>
      </c>
      <c r="K350" s="1" t="s">
        <v>469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 s="1" t="s">
        <v>149</v>
      </c>
      <c r="B351" s="1" t="s">
        <v>150</v>
      </c>
      <c r="C351" s="1" t="s">
        <v>163</v>
      </c>
      <c r="D351" s="1" t="s">
        <v>452</v>
      </c>
      <c r="E351">
        <v>82</v>
      </c>
      <c r="F351" s="10" t="str">
        <f>IF(final_data[[#This Row],[Total_applicants]]=0,"unknown","-")</f>
        <v>-</v>
      </c>
      <c r="G351" s="5">
        <v>80865</v>
      </c>
      <c r="H351" s="1" t="s">
        <v>43</v>
      </c>
      <c r="I351" s="1" t="s">
        <v>466</v>
      </c>
      <c r="J351">
        <v>1200</v>
      </c>
      <c r="K351" s="1" t="s">
        <v>469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 s="1" t="s">
        <v>149</v>
      </c>
      <c r="B352" s="1" t="s">
        <v>150</v>
      </c>
      <c r="C352" s="1" t="s">
        <v>176</v>
      </c>
      <c r="D352" s="1" t="s">
        <v>452</v>
      </c>
      <c r="E352">
        <v>43</v>
      </c>
      <c r="F352" s="10" t="str">
        <f>IF(final_data[[#This Row],[Total_applicants]]=0,"unknown","-")</f>
        <v>-</v>
      </c>
      <c r="G352" s="5">
        <v>80865</v>
      </c>
      <c r="H352" s="1" t="s">
        <v>43</v>
      </c>
      <c r="I352" s="1" t="s">
        <v>465</v>
      </c>
      <c r="J352">
        <v>1200</v>
      </c>
      <c r="K352" s="1" t="s">
        <v>469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 s="1" t="s">
        <v>149</v>
      </c>
      <c r="B353" s="1" t="s">
        <v>150</v>
      </c>
      <c r="C353" s="1" t="s">
        <v>182</v>
      </c>
      <c r="D353" s="1" t="s">
        <v>452</v>
      </c>
      <c r="E353">
        <v>21</v>
      </c>
      <c r="F353" s="10" t="str">
        <f>IF(final_data[[#This Row],[Total_applicants]]=0,"unknown","-")</f>
        <v>-</v>
      </c>
      <c r="G353" s="5">
        <v>80865</v>
      </c>
      <c r="H353" s="1" t="s">
        <v>43</v>
      </c>
      <c r="I353" s="1" t="s">
        <v>465</v>
      </c>
      <c r="J353">
        <v>1200</v>
      </c>
      <c r="K353" s="1" t="s">
        <v>469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 s="1" t="s">
        <v>149</v>
      </c>
      <c r="B354" s="1" t="s">
        <v>150</v>
      </c>
      <c r="C354" s="1" t="s">
        <v>45</v>
      </c>
      <c r="D354" s="1" t="s">
        <v>449</v>
      </c>
      <c r="E354">
        <v>27</v>
      </c>
      <c r="F354" s="10" t="str">
        <f>IF(final_data[[#This Row],[Total_applicants]]=0,"unknown","-")</f>
        <v>-</v>
      </c>
      <c r="G354" s="5">
        <v>80865</v>
      </c>
      <c r="H354" s="1" t="s">
        <v>43</v>
      </c>
      <c r="I354" s="1" t="s">
        <v>465</v>
      </c>
      <c r="J354">
        <v>1200</v>
      </c>
      <c r="K354" s="1" t="s">
        <v>469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 s="1" t="s">
        <v>149</v>
      </c>
      <c r="B355" s="1" t="s">
        <v>150</v>
      </c>
      <c r="C355" s="1" t="s">
        <v>185</v>
      </c>
      <c r="D355" s="1" t="s">
        <v>452</v>
      </c>
      <c r="E355">
        <v>11</v>
      </c>
      <c r="F355" s="10" t="str">
        <f>IF(final_data[[#This Row],[Total_applicants]]=0,"unknown","-")</f>
        <v>-</v>
      </c>
      <c r="G355" s="5">
        <v>80865</v>
      </c>
      <c r="H355" s="1" t="s">
        <v>43</v>
      </c>
      <c r="I355" s="1" t="s">
        <v>466</v>
      </c>
      <c r="J355">
        <v>1200</v>
      </c>
      <c r="K355" s="1" t="s">
        <v>469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 s="1" t="s">
        <v>149</v>
      </c>
      <c r="B356" s="1" t="s">
        <v>150</v>
      </c>
      <c r="C356" s="1" t="s">
        <v>186</v>
      </c>
      <c r="D356" s="1" t="s">
        <v>451</v>
      </c>
      <c r="E356">
        <v>4</v>
      </c>
      <c r="F356" s="10" t="str">
        <f>IF(final_data[[#This Row],[Total_applicants]]=0,"unknown","-")</f>
        <v>-</v>
      </c>
      <c r="G356" s="5">
        <v>80865</v>
      </c>
      <c r="H356" s="1" t="s">
        <v>43</v>
      </c>
      <c r="I356" s="1" t="s">
        <v>465</v>
      </c>
      <c r="J356">
        <v>1200</v>
      </c>
      <c r="K356" s="1" t="s">
        <v>469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 s="1" t="s">
        <v>149</v>
      </c>
      <c r="B357" s="1" t="s">
        <v>150</v>
      </c>
      <c r="C357" s="1" t="s">
        <v>172</v>
      </c>
      <c r="D357" s="1" t="s">
        <v>455</v>
      </c>
      <c r="E357">
        <v>74</v>
      </c>
      <c r="F357" s="10" t="str">
        <f>IF(final_data[[#This Row],[Total_applicants]]=0,"unknown","-")</f>
        <v>-</v>
      </c>
      <c r="G357" s="5">
        <v>80865</v>
      </c>
      <c r="H357" s="1" t="s">
        <v>43</v>
      </c>
      <c r="I357" s="1" t="s">
        <v>465</v>
      </c>
      <c r="J357">
        <v>1200</v>
      </c>
      <c r="K357" s="1" t="s">
        <v>469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 s="1" t="s">
        <v>149</v>
      </c>
      <c r="B358" s="1" t="s">
        <v>150</v>
      </c>
      <c r="C358" s="1" t="s">
        <v>187</v>
      </c>
      <c r="D358" s="1" t="s">
        <v>451</v>
      </c>
      <c r="E358">
        <v>9</v>
      </c>
      <c r="F358" s="10" t="str">
        <f>IF(final_data[[#This Row],[Total_applicants]]=0,"unknown","-")</f>
        <v>-</v>
      </c>
      <c r="G358" s="5">
        <v>80865</v>
      </c>
      <c r="H358" s="1" t="s">
        <v>43</v>
      </c>
      <c r="I358" s="1" t="s">
        <v>466</v>
      </c>
      <c r="J358">
        <v>1200</v>
      </c>
      <c r="K358" s="1" t="s">
        <v>469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 s="1" t="s">
        <v>149</v>
      </c>
      <c r="B359" s="1" t="s">
        <v>150</v>
      </c>
      <c r="C359" s="1" t="s">
        <v>45</v>
      </c>
      <c r="D359" s="1" t="s">
        <v>449</v>
      </c>
      <c r="E359">
        <v>46</v>
      </c>
      <c r="F359" s="10" t="str">
        <f>IF(final_data[[#This Row],[Total_applicants]]=0,"unknown","-")</f>
        <v>-</v>
      </c>
      <c r="G359" s="5">
        <v>80865</v>
      </c>
      <c r="H359" s="1" t="s">
        <v>43</v>
      </c>
      <c r="I359" s="1" t="s">
        <v>465</v>
      </c>
      <c r="J359">
        <v>1200</v>
      </c>
      <c r="K359" s="1" t="s">
        <v>469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 s="1" t="s">
        <v>149</v>
      </c>
      <c r="B360" s="1" t="s">
        <v>150</v>
      </c>
      <c r="C360" s="1" t="s">
        <v>188</v>
      </c>
      <c r="D360" s="1" t="s">
        <v>451</v>
      </c>
      <c r="E360">
        <v>0</v>
      </c>
      <c r="F360" s="10" t="str">
        <f>IF(final_data[[#This Row],[Total_applicants]]=0,"unknown","-")</f>
        <v>unknown</v>
      </c>
      <c r="G360" s="5">
        <v>80865</v>
      </c>
      <c r="H360" s="1" t="s">
        <v>43</v>
      </c>
      <c r="I360" s="1" t="s">
        <v>465</v>
      </c>
      <c r="J360">
        <v>1200</v>
      </c>
      <c r="K360" s="1" t="s">
        <v>469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</row>
    <row r="361" spans="1:42" x14ac:dyDescent="0.25">
      <c r="A361" s="1" t="s">
        <v>149</v>
      </c>
      <c r="B361" s="1" t="s">
        <v>150</v>
      </c>
      <c r="C361" s="1" t="s">
        <v>189</v>
      </c>
      <c r="D361" s="1" t="s">
        <v>451</v>
      </c>
      <c r="E361">
        <v>18</v>
      </c>
      <c r="F361" s="10" t="str">
        <f>IF(final_data[[#This Row],[Total_applicants]]=0,"unknown","-")</f>
        <v>-</v>
      </c>
      <c r="G361" s="5">
        <v>80865</v>
      </c>
      <c r="H361" s="1" t="s">
        <v>43</v>
      </c>
      <c r="I361" s="1" t="s">
        <v>466</v>
      </c>
      <c r="J361">
        <v>1200</v>
      </c>
      <c r="K361" s="1" t="s">
        <v>469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 s="1" t="s">
        <v>149</v>
      </c>
      <c r="B362" s="1" t="s">
        <v>150</v>
      </c>
      <c r="C362" s="1" t="s">
        <v>190</v>
      </c>
      <c r="D362" s="1" t="s">
        <v>452</v>
      </c>
      <c r="E362">
        <v>2</v>
      </c>
      <c r="F362" s="10" t="str">
        <f>IF(final_data[[#This Row],[Total_applicants]]=0,"unknown","-")</f>
        <v>-</v>
      </c>
      <c r="G362" s="5">
        <v>80865</v>
      </c>
      <c r="H362" s="1" t="s">
        <v>43</v>
      </c>
      <c r="I362" s="1" t="s">
        <v>465</v>
      </c>
      <c r="J362">
        <v>1200</v>
      </c>
      <c r="K362" s="1" t="s">
        <v>469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 s="1" t="s">
        <v>149</v>
      </c>
      <c r="B363" s="1" t="s">
        <v>150</v>
      </c>
      <c r="C363" s="1" t="s">
        <v>191</v>
      </c>
      <c r="D363" s="1" t="s">
        <v>450</v>
      </c>
      <c r="E363">
        <v>11</v>
      </c>
      <c r="F363" s="10" t="str">
        <f>IF(final_data[[#This Row],[Total_applicants]]=0,"unknown","-")</f>
        <v>-</v>
      </c>
      <c r="G363" s="5">
        <v>80865</v>
      </c>
      <c r="H363" s="1" t="s">
        <v>43</v>
      </c>
      <c r="I363" s="1" t="s">
        <v>465</v>
      </c>
      <c r="J363">
        <v>1200</v>
      </c>
      <c r="K363" s="1" t="s">
        <v>469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1</v>
      </c>
    </row>
    <row r="364" spans="1:42" x14ac:dyDescent="0.25">
      <c r="A364" s="1" t="s">
        <v>149</v>
      </c>
      <c r="B364" s="1" t="s">
        <v>150</v>
      </c>
      <c r="C364" s="1" t="s">
        <v>85</v>
      </c>
      <c r="D364" s="1" t="s">
        <v>454</v>
      </c>
      <c r="E364">
        <v>22</v>
      </c>
      <c r="F364" s="10" t="str">
        <f>IF(final_data[[#This Row],[Total_applicants]]=0,"unknown","-")</f>
        <v>-</v>
      </c>
      <c r="G364" s="5">
        <v>80865</v>
      </c>
      <c r="H364" s="1" t="s">
        <v>43</v>
      </c>
      <c r="I364" s="1" t="s">
        <v>465</v>
      </c>
      <c r="J364">
        <v>1200</v>
      </c>
      <c r="K364" s="1" t="s">
        <v>469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 s="1" t="s">
        <v>149</v>
      </c>
      <c r="B365" s="1" t="s">
        <v>150</v>
      </c>
      <c r="C365" s="1" t="s">
        <v>192</v>
      </c>
      <c r="D365" s="1" t="s">
        <v>449</v>
      </c>
      <c r="E365">
        <v>35</v>
      </c>
      <c r="F365" s="10" t="str">
        <f>IF(final_data[[#This Row],[Total_applicants]]=0,"unknown","-")</f>
        <v>-</v>
      </c>
      <c r="G365" s="5">
        <v>80865</v>
      </c>
      <c r="H365" s="1" t="s">
        <v>43</v>
      </c>
      <c r="I365" s="1" t="s">
        <v>465</v>
      </c>
      <c r="J365">
        <v>1200</v>
      </c>
      <c r="K365" s="1" t="s">
        <v>469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1</v>
      </c>
      <c r="AG365">
        <v>1</v>
      </c>
      <c r="AH365">
        <v>1</v>
      </c>
      <c r="AI365">
        <v>1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1</v>
      </c>
      <c r="AP365">
        <v>1</v>
      </c>
    </row>
    <row r="366" spans="1:42" x14ac:dyDescent="0.25">
      <c r="A366" s="1" t="s">
        <v>149</v>
      </c>
      <c r="B366" s="1" t="s">
        <v>150</v>
      </c>
      <c r="C366" s="1" t="s">
        <v>193</v>
      </c>
      <c r="D366" s="1" t="s">
        <v>449</v>
      </c>
      <c r="E366">
        <v>5</v>
      </c>
      <c r="F366" s="10" t="str">
        <f>IF(final_data[[#This Row],[Total_applicants]]=0,"unknown","-")</f>
        <v>-</v>
      </c>
      <c r="G366" s="5">
        <v>80865</v>
      </c>
      <c r="H366" s="1" t="s">
        <v>43</v>
      </c>
      <c r="I366" s="1" t="s">
        <v>465</v>
      </c>
      <c r="J366">
        <v>1200</v>
      </c>
      <c r="K366" s="1" t="s">
        <v>469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 s="1" t="s">
        <v>149</v>
      </c>
      <c r="B367" s="1" t="s">
        <v>150</v>
      </c>
      <c r="C367" s="1" t="s">
        <v>167</v>
      </c>
      <c r="D367" s="1" t="s">
        <v>451</v>
      </c>
      <c r="E367">
        <v>39</v>
      </c>
      <c r="F367" s="10" t="str">
        <f>IF(final_data[[#This Row],[Total_applicants]]=0,"unknown","-")</f>
        <v>-</v>
      </c>
      <c r="G367" s="5">
        <v>80865</v>
      </c>
      <c r="H367" s="1" t="s">
        <v>43</v>
      </c>
      <c r="I367" s="1" t="s">
        <v>466</v>
      </c>
      <c r="J367">
        <v>1200</v>
      </c>
      <c r="K367" s="1" t="s">
        <v>469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 s="1" t="s">
        <v>149</v>
      </c>
      <c r="B368" s="1" t="s">
        <v>150</v>
      </c>
      <c r="C368" s="1" t="s">
        <v>180</v>
      </c>
      <c r="D368" s="1" t="s">
        <v>451</v>
      </c>
      <c r="E368">
        <v>1</v>
      </c>
      <c r="F368" s="10" t="str">
        <f>IF(final_data[[#This Row],[Total_applicants]]=0,"unknown","-")</f>
        <v>-</v>
      </c>
      <c r="G368" s="5">
        <v>80865</v>
      </c>
      <c r="H368" s="1" t="s">
        <v>43</v>
      </c>
      <c r="I368" s="1" t="s">
        <v>465</v>
      </c>
      <c r="J368">
        <v>1200</v>
      </c>
      <c r="K368" s="1" t="s">
        <v>469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 s="1" t="s">
        <v>149</v>
      </c>
      <c r="B369" s="1" t="s">
        <v>150</v>
      </c>
      <c r="C369" s="1" t="s">
        <v>194</v>
      </c>
      <c r="D369" s="1" t="s">
        <v>451</v>
      </c>
      <c r="E369">
        <v>0</v>
      </c>
      <c r="F369" s="10" t="str">
        <f>IF(final_data[[#This Row],[Total_applicants]]=0,"unknown","-")</f>
        <v>unknown</v>
      </c>
      <c r="G369" s="5">
        <v>80865</v>
      </c>
      <c r="H369" s="1" t="s">
        <v>43</v>
      </c>
      <c r="I369" s="1" t="s">
        <v>466</v>
      </c>
      <c r="J369">
        <v>1200</v>
      </c>
      <c r="K369" s="1" t="s">
        <v>469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 s="1" t="s">
        <v>149</v>
      </c>
      <c r="B370" s="1" t="s">
        <v>150</v>
      </c>
      <c r="C370" s="1" t="s">
        <v>176</v>
      </c>
      <c r="D370" s="1" t="s">
        <v>449</v>
      </c>
      <c r="E370">
        <v>0</v>
      </c>
      <c r="F370" s="10" t="str">
        <f>IF(final_data[[#This Row],[Total_applicants]]=0,"unknown","-")</f>
        <v>unknown</v>
      </c>
      <c r="G370" s="5">
        <v>80865</v>
      </c>
      <c r="H370" s="1" t="s">
        <v>43</v>
      </c>
      <c r="I370" s="1" t="s">
        <v>465</v>
      </c>
      <c r="J370">
        <v>1200</v>
      </c>
      <c r="K370" s="1" t="s">
        <v>469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 s="1" t="s">
        <v>149</v>
      </c>
      <c r="B371" s="1" t="s">
        <v>150</v>
      </c>
      <c r="C371" s="1" t="s">
        <v>167</v>
      </c>
      <c r="D371" s="1" t="s">
        <v>455</v>
      </c>
      <c r="E371">
        <v>0</v>
      </c>
      <c r="F371" s="10" t="str">
        <f>IF(final_data[[#This Row],[Total_applicants]]=0,"unknown","-")</f>
        <v>unknown</v>
      </c>
      <c r="G371" s="5">
        <v>80865</v>
      </c>
      <c r="H371" s="1" t="s">
        <v>43</v>
      </c>
      <c r="I371" s="1" t="s">
        <v>466</v>
      </c>
      <c r="J371">
        <v>1200</v>
      </c>
      <c r="K371" s="1" t="s">
        <v>469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 s="1" t="s">
        <v>149</v>
      </c>
      <c r="B372" s="1" t="s">
        <v>150</v>
      </c>
      <c r="C372" s="1" t="s">
        <v>195</v>
      </c>
      <c r="D372" s="1" t="s">
        <v>451</v>
      </c>
      <c r="E372">
        <v>23</v>
      </c>
      <c r="F372" s="10" t="str">
        <f>IF(final_data[[#This Row],[Total_applicants]]=0,"unknown","-")</f>
        <v>-</v>
      </c>
      <c r="G372" s="5">
        <v>80865</v>
      </c>
      <c r="H372" s="1" t="s">
        <v>43</v>
      </c>
      <c r="I372" s="1" t="s">
        <v>466</v>
      </c>
      <c r="J372">
        <v>1200</v>
      </c>
      <c r="K372" s="1" t="s">
        <v>469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 s="1" t="s">
        <v>149</v>
      </c>
      <c r="B373" s="1" t="s">
        <v>150</v>
      </c>
      <c r="C373" s="1" t="s">
        <v>196</v>
      </c>
      <c r="D373" s="1" t="s">
        <v>451</v>
      </c>
      <c r="E373">
        <v>0</v>
      </c>
      <c r="F373" s="10" t="str">
        <f>IF(final_data[[#This Row],[Total_applicants]]=0,"unknown","-")</f>
        <v>unknown</v>
      </c>
      <c r="G373" s="5">
        <v>80865</v>
      </c>
      <c r="H373" s="1" t="s">
        <v>43</v>
      </c>
      <c r="I373" s="1" t="s">
        <v>466</v>
      </c>
      <c r="J373">
        <v>1200</v>
      </c>
      <c r="K373" s="1" t="s">
        <v>469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 s="1" t="s">
        <v>149</v>
      </c>
      <c r="B374" s="1" t="s">
        <v>150</v>
      </c>
      <c r="C374" s="1" t="s">
        <v>197</v>
      </c>
      <c r="D374" s="1" t="s">
        <v>451</v>
      </c>
      <c r="E374">
        <v>52</v>
      </c>
      <c r="F374" s="10" t="str">
        <f>IF(final_data[[#This Row],[Total_applicants]]=0,"unknown","-")</f>
        <v>-</v>
      </c>
      <c r="G374" s="5">
        <v>80865</v>
      </c>
      <c r="H374" s="1" t="s">
        <v>43</v>
      </c>
      <c r="I374" s="1" t="s">
        <v>466</v>
      </c>
      <c r="J374">
        <v>1200</v>
      </c>
      <c r="K374" s="1" t="s">
        <v>469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</v>
      </c>
    </row>
    <row r="375" spans="1:42" x14ac:dyDescent="0.25">
      <c r="A375" s="1" t="s">
        <v>149</v>
      </c>
      <c r="B375" s="1" t="s">
        <v>150</v>
      </c>
      <c r="C375" s="1" t="s">
        <v>198</v>
      </c>
      <c r="D375" s="1" t="s">
        <v>459</v>
      </c>
      <c r="E375">
        <v>7</v>
      </c>
      <c r="F375" s="10" t="str">
        <f>IF(final_data[[#This Row],[Total_applicants]]=0,"unknown","-")</f>
        <v>-</v>
      </c>
      <c r="G375" s="5">
        <v>80865</v>
      </c>
      <c r="H375" s="1" t="s">
        <v>43</v>
      </c>
      <c r="I375" s="1" t="s">
        <v>465</v>
      </c>
      <c r="J375">
        <v>1200</v>
      </c>
      <c r="K375" s="1" t="s">
        <v>469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</row>
    <row r="376" spans="1:42" x14ac:dyDescent="0.25">
      <c r="A376" s="1" t="s">
        <v>149</v>
      </c>
      <c r="B376" s="1" t="s">
        <v>150</v>
      </c>
      <c r="C376" s="1" t="s">
        <v>189</v>
      </c>
      <c r="D376" s="1" t="s">
        <v>451</v>
      </c>
      <c r="E376">
        <v>7</v>
      </c>
      <c r="F376" s="10" t="str">
        <f>IF(final_data[[#This Row],[Total_applicants]]=0,"unknown","-")</f>
        <v>-</v>
      </c>
      <c r="G376" s="5">
        <v>80865</v>
      </c>
      <c r="H376" s="1" t="s">
        <v>43</v>
      </c>
      <c r="I376" s="1" t="s">
        <v>466</v>
      </c>
      <c r="J376">
        <v>1200</v>
      </c>
      <c r="K376" s="1" t="s">
        <v>469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 s="1" t="s">
        <v>149</v>
      </c>
      <c r="B377" s="1" t="s">
        <v>150</v>
      </c>
      <c r="C377" s="1" t="s">
        <v>146</v>
      </c>
      <c r="D377" s="1" t="s">
        <v>451</v>
      </c>
      <c r="E377">
        <v>23</v>
      </c>
      <c r="F377" s="10" t="str">
        <f>IF(final_data[[#This Row],[Total_applicants]]=0,"unknown","-")</f>
        <v>-</v>
      </c>
      <c r="G377" s="5">
        <v>80865</v>
      </c>
      <c r="H377" s="1" t="s">
        <v>43</v>
      </c>
      <c r="I377" s="1" t="s">
        <v>466</v>
      </c>
      <c r="J377">
        <v>1200</v>
      </c>
      <c r="K377" s="1" t="s">
        <v>469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 s="1" t="s">
        <v>149</v>
      </c>
      <c r="B378" s="1" t="s">
        <v>150</v>
      </c>
      <c r="C378" s="1" t="s">
        <v>199</v>
      </c>
      <c r="D378" s="1" t="s">
        <v>452</v>
      </c>
      <c r="E378">
        <v>46</v>
      </c>
      <c r="F378" s="10" t="str">
        <f>IF(final_data[[#This Row],[Total_applicants]]=0,"unknown","-")</f>
        <v>-</v>
      </c>
      <c r="G378" s="5">
        <v>80865</v>
      </c>
      <c r="H378" s="1" t="s">
        <v>43</v>
      </c>
      <c r="I378" s="1" t="s">
        <v>465</v>
      </c>
      <c r="J378">
        <v>1200</v>
      </c>
      <c r="K378" s="1" t="s">
        <v>469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 s="1" t="s">
        <v>149</v>
      </c>
      <c r="B379" s="1" t="s">
        <v>150</v>
      </c>
      <c r="C379" s="1" t="s">
        <v>200</v>
      </c>
      <c r="D379" s="1" t="s">
        <v>451</v>
      </c>
      <c r="E379">
        <v>0</v>
      </c>
      <c r="F379" s="10" t="str">
        <f>IF(final_data[[#This Row],[Total_applicants]]=0,"unknown","-")</f>
        <v>unknown</v>
      </c>
      <c r="G379" s="5">
        <v>80865</v>
      </c>
      <c r="H379" s="1" t="s">
        <v>43</v>
      </c>
      <c r="I379" s="1" t="s">
        <v>467</v>
      </c>
      <c r="J379">
        <v>1200</v>
      </c>
      <c r="K379" s="1" t="s">
        <v>469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 s="1" t="s">
        <v>149</v>
      </c>
      <c r="B380" s="1" t="s">
        <v>150</v>
      </c>
      <c r="C380" s="1" t="s">
        <v>172</v>
      </c>
      <c r="D380" s="1" t="s">
        <v>451</v>
      </c>
      <c r="E380">
        <v>88</v>
      </c>
      <c r="F380" s="10" t="str">
        <f>IF(final_data[[#This Row],[Total_applicants]]=0,"unknown","-")</f>
        <v>-</v>
      </c>
      <c r="G380" s="5">
        <v>80865</v>
      </c>
      <c r="H380" s="1" t="s">
        <v>43</v>
      </c>
      <c r="I380" s="1" t="s">
        <v>465</v>
      </c>
      <c r="J380">
        <v>1200</v>
      </c>
      <c r="K380" s="1" t="s">
        <v>469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 s="1" t="s">
        <v>149</v>
      </c>
      <c r="B381" s="1" t="s">
        <v>150</v>
      </c>
      <c r="C381" s="1" t="s">
        <v>201</v>
      </c>
      <c r="D381" s="1" t="s">
        <v>449</v>
      </c>
      <c r="E381">
        <v>156</v>
      </c>
      <c r="F381" s="10" t="str">
        <f>IF(final_data[[#This Row],[Total_applicants]]=0,"unknown","-")</f>
        <v>-</v>
      </c>
      <c r="G381" s="5">
        <v>80865</v>
      </c>
      <c r="H381" s="1" t="s">
        <v>43</v>
      </c>
      <c r="I381" s="1" t="s">
        <v>466</v>
      </c>
      <c r="J381">
        <v>1200</v>
      </c>
      <c r="K381" s="1" t="s">
        <v>469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 s="1" t="s">
        <v>149</v>
      </c>
      <c r="B382" s="1" t="s">
        <v>150</v>
      </c>
      <c r="C382" s="1" t="s">
        <v>42</v>
      </c>
      <c r="D382" s="1" t="s">
        <v>451</v>
      </c>
      <c r="E382">
        <v>31</v>
      </c>
      <c r="F382" s="10" t="str">
        <f>IF(final_data[[#This Row],[Total_applicants]]=0,"unknown","-")</f>
        <v>-</v>
      </c>
      <c r="G382" s="5">
        <v>80865</v>
      </c>
      <c r="H382" s="1" t="s">
        <v>43</v>
      </c>
      <c r="I382" s="1" t="s">
        <v>465</v>
      </c>
      <c r="J382">
        <v>1200</v>
      </c>
      <c r="K382" s="1" t="s">
        <v>469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 s="1" t="s">
        <v>149</v>
      </c>
      <c r="B383" s="1" t="s">
        <v>150</v>
      </c>
      <c r="C383" s="1" t="s">
        <v>162</v>
      </c>
      <c r="D383" s="1" t="s">
        <v>451</v>
      </c>
      <c r="E383">
        <v>22</v>
      </c>
      <c r="F383" s="10" t="str">
        <f>IF(final_data[[#This Row],[Total_applicants]]=0,"unknown","-")</f>
        <v>-</v>
      </c>
      <c r="G383" s="5">
        <v>80865</v>
      </c>
      <c r="H383" s="1" t="s">
        <v>43</v>
      </c>
      <c r="I383" s="1" t="s">
        <v>465</v>
      </c>
      <c r="J383">
        <v>1200</v>
      </c>
      <c r="K383" s="1" t="s">
        <v>469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 s="1" t="s">
        <v>149</v>
      </c>
      <c r="B384" s="1" t="s">
        <v>150</v>
      </c>
      <c r="C384" s="1" t="s">
        <v>42</v>
      </c>
      <c r="D384" s="1" t="s">
        <v>451</v>
      </c>
      <c r="E384">
        <v>78</v>
      </c>
      <c r="F384" s="10" t="str">
        <f>IF(final_data[[#This Row],[Total_applicants]]=0,"unknown","-")</f>
        <v>-</v>
      </c>
      <c r="G384" s="5">
        <v>80865</v>
      </c>
      <c r="H384" s="1" t="s">
        <v>43</v>
      </c>
      <c r="I384" s="1" t="s">
        <v>465</v>
      </c>
      <c r="J384">
        <v>1200</v>
      </c>
      <c r="K384" s="1" t="s">
        <v>469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 x14ac:dyDescent="0.25">
      <c r="A385" s="1" t="s">
        <v>149</v>
      </c>
      <c r="B385" s="1" t="s">
        <v>150</v>
      </c>
      <c r="C385" s="1" t="s">
        <v>42</v>
      </c>
      <c r="D385" s="1" t="s">
        <v>454</v>
      </c>
      <c r="E385">
        <v>33</v>
      </c>
      <c r="F385" s="10" t="str">
        <f>IF(final_data[[#This Row],[Total_applicants]]=0,"unknown","-")</f>
        <v>-</v>
      </c>
      <c r="G385" s="5">
        <v>80865</v>
      </c>
      <c r="H385" s="1" t="s">
        <v>43</v>
      </c>
      <c r="I385" s="1" t="s">
        <v>465</v>
      </c>
      <c r="J385">
        <v>1200</v>
      </c>
      <c r="K385" s="1" t="s">
        <v>469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 s="1" t="s">
        <v>149</v>
      </c>
      <c r="B386" s="1" t="s">
        <v>150</v>
      </c>
      <c r="C386" s="1" t="s">
        <v>176</v>
      </c>
      <c r="D386" s="1" t="s">
        <v>449</v>
      </c>
      <c r="E386">
        <v>5</v>
      </c>
      <c r="F386" s="10" t="str">
        <f>IF(final_data[[#This Row],[Total_applicants]]=0,"unknown","-")</f>
        <v>-</v>
      </c>
      <c r="G386" s="5">
        <v>80865</v>
      </c>
      <c r="H386" s="1" t="s">
        <v>43</v>
      </c>
      <c r="I386" s="1" t="s">
        <v>465</v>
      </c>
      <c r="J386">
        <v>1200</v>
      </c>
      <c r="K386" s="1" t="s">
        <v>469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 s="1" t="s">
        <v>149</v>
      </c>
      <c r="B387" s="1" t="s">
        <v>150</v>
      </c>
      <c r="C387" s="1" t="s">
        <v>202</v>
      </c>
      <c r="D387" s="1" t="s">
        <v>449</v>
      </c>
      <c r="E387">
        <v>12</v>
      </c>
      <c r="F387" s="10" t="str">
        <f>IF(final_data[[#This Row],[Total_applicants]]=0,"unknown","-")</f>
        <v>-</v>
      </c>
      <c r="G387" s="5">
        <v>80865</v>
      </c>
      <c r="H387" s="1" t="s">
        <v>158</v>
      </c>
      <c r="I387" s="1" t="s">
        <v>465</v>
      </c>
      <c r="J387">
        <v>1200</v>
      </c>
      <c r="K387" s="1" t="s">
        <v>469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1</v>
      </c>
    </row>
    <row r="388" spans="1:42" x14ac:dyDescent="0.25">
      <c r="A388" s="1" t="s">
        <v>149</v>
      </c>
      <c r="B388" s="1" t="s">
        <v>150</v>
      </c>
      <c r="C388" s="1" t="s">
        <v>203</v>
      </c>
      <c r="D388" s="1" t="s">
        <v>449</v>
      </c>
      <c r="E388">
        <v>61</v>
      </c>
      <c r="F388" s="10" t="str">
        <f>IF(final_data[[#This Row],[Total_applicants]]=0,"unknown","-")</f>
        <v>-</v>
      </c>
      <c r="G388" s="5">
        <v>80865</v>
      </c>
      <c r="H388" s="1" t="s">
        <v>43</v>
      </c>
      <c r="I388" s="1" t="s">
        <v>465</v>
      </c>
      <c r="J388">
        <v>1200</v>
      </c>
      <c r="K388" s="1" t="s">
        <v>469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 s="1" t="s">
        <v>149</v>
      </c>
      <c r="B389" s="1" t="s">
        <v>150</v>
      </c>
      <c r="C389" s="1" t="s">
        <v>172</v>
      </c>
      <c r="D389" s="1" t="s">
        <v>452</v>
      </c>
      <c r="E389">
        <v>52</v>
      </c>
      <c r="F389" s="10" t="str">
        <f>IF(final_data[[#This Row],[Total_applicants]]=0,"unknown","-")</f>
        <v>-</v>
      </c>
      <c r="G389" s="5">
        <v>80865</v>
      </c>
      <c r="H389" s="1" t="s">
        <v>43</v>
      </c>
      <c r="I389" s="1" t="s">
        <v>465</v>
      </c>
      <c r="J389">
        <v>1200</v>
      </c>
      <c r="K389" s="1" t="s">
        <v>469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 s="1" t="s">
        <v>149</v>
      </c>
      <c r="B390" s="1" t="s">
        <v>150</v>
      </c>
      <c r="C390" s="1" t="s">
        <v>204</v>
      </c>
      <c r="D390" s="1" t="s">
        <v>451</v>
      </c>
      <c r="E390">
        <v>1</v>
      </c>
      <c r="F390" s="10" t="str">
        <f>IF(final_data[[#This Row],[Total_applicants]]=0,"unknown","-")</f>
        <v>-</v>
      </c>
      <c r="G390" s="5">
        <v>80865</v>
      </c>
      <c r="H390" s="1" t="s">
        <v>43</v>
      </c>
      <c r="I390" s="1" t="s">
        <v>466</v>
      </c>
      <c r="J390">
        <v>1200</v>
      </c>
      <c r="K390" s="1" t="s">
        <v>469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 s="1" t="s">
        <v>149</v>
      </c>
      <c r="B391" s="1" t="s">
        <v>150</v>
      </c>
      <c r="C391" s="1" t="s">
        <v>205</v>
      </c>
      <c r="D391" s="1" t="s">
        <v>451</v>
      </c>
      <c r="E391">
        <v>1</v>
      </c>
      <c r="F391" s="10" t="str">
        <f>IF(final_data[[#This Row],[Total_applicants]]=0,"unknown","-")</f>
        <v>-</v>
      </c>
      <c r="G391" s="5">
        <v>80865</v>
      </c>
      <c r="H391" s="1" t="s">
        <v>43</v>
      </c>
      <c r="I391" s="1" t="s">
        <v>466</v>
      </c>
      <c r="J391">
        <v>1200</v>
      </c>
      <c r="K391" s="1" t="s">
        <v>469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 s="1" t="s">
        <v>149</v>
      </c>
      <c r="B392" s="1" t="s">
        <v>150</v>
      </c>
      <c r="C392" s="1" t="s">
        <v>206</v>
      </c>
      <c r="D392" s="1" t="s">
        <v>451</v>
      </c>
      <c r="E392">
        <v>1</v>
      </c>
      <c r="F392" s="10" t="str">
        <f>IF(final_data[[#This Row],[Total_applicants]]=0,"unknown","-")</f>
        <v>-</v>
      </c>
      <c r="G392" s="5">
        <v>80865</v>
      </c>
      <c r="H392" s="1" t="s">
        <v>43</v>
      </c>
      <c r="I392" s="1" t="s">
        <v>466</v>
      </c>
      <c r="J392">
        <v>1200</v>
      </c>
      <c r="K392" s="1" t="s">
        <v>469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 s="1" t="s">
        <v>149</v>
      </c>
      <c r="B393" s="1" t="s">
        <v>150</v>
      </c>
      <c r="C393" s="1" t="s">
        <v>167</v>
      </c>
      <c r="D393" s="1" t="s">
        <v>455</v>
      </c>
      <c r="E393">
        <v>0</v>
      </c>
      <c r="F393" s="10" t="str">
        <f>IF(final_data[[#This Row],[Total_applicants]]=0,"unknown","-")</f>
        <v>unknown</v>
      </c>
      <c r="G393" s="5">
        <v>80865</v>
      </c>
      <c r="H393" s="1" t="s">
        <v>43</v>
      </c>
      <c r="I393" s="1" t="s">
        <v>466</v>
      </c>
      <c r="J393">
        <v>1200</v>
      </c>
      <c r="K393" s="1" t="s">
        <v>469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 s="1" t="s">
        <v>149</v>
      </c>
      <c r="B394" s="1" t="s">
        <v>150</v>
      </c>
      <c r="C394" s="1" t="s">
        <v>167</v>
      </c>
      <c r="D394" s="1" t="s">
        <v>451</v>
      </c>
      <c r="E394">
        <v>9</v>
      </c>
      <c r="F394" s="10" t="str">
        <f>IF(final_data[[#This Row],[Total_applicants]]=0,"unknown","-")</f>
        <v>-</v>
      </c>
      <c r="G394" s="5">
        <v>80865</v>
      </c>
      <c r="H394" s="1" t="s">
        <v>43</v>
      </c>
      <c r="I394" s="1" t="s">
        <v>466</v>
      </c>
      <c r="J394">
        <v>1200</v>
      </c>
      <c r="K394" s="1" t="s">
        <v>469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 s="1" t="s">
        <v>149</v>
      </c>
      <c r="B395" s="1" t="s">
        <v>150</v>
      </c>
      <c r="C395" s="1" t="s">
        <v>207</v>
      </c>
      <c r="D395" s="1" t="s">
        <v>451</v>
      </c>
      <c r="E395">
        <v>0</v>
      </c>
      <c r="F395" s="10" t="str">
        <f>IF(final_data[[#This Row],[Total_applicants]]=0,"unknown","-")</f>
        <v>unknown</v>
      </c>
      <c r="G395" s="5">
        <v>80865</v>
      </c>
      <c r="H395" s="1" t="s">
        <v>43</v>
      </c>
      <c r="I395" s="1" t="s">
        <v>465</v>
      </c>
      <c r="J395">
        <v>1200</v>
      </c>
      <c r="K395" s="1" t="s">
        <v>469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 s="1" t="s">
        <v>149</v>
      </c>
      <c r="B396" s="1" t="s">
        <v>150</v>
      </c>
      <c r="C396" s="1" t="s">
        <v>208</v>
      </c>
      <c r="D396" s="1" t="s">
        <v>451</v>
      </c>
      <c r="E396">
        <v>1</v>
      </c>
      <c r="F396" s="10" t="str">
        <f>IF(final_data[[#This Row],[Total_applicants]]=0,"unknown","-")</f>
        <v>-</v>
      </c>
      <c r="G396" s="5">
        <v>80865</v>
      </c>
      <c r="H396" s="1" t="s">
        <v>43</v>
      </c>
      <c r="I396" s="1" t="s">
        <v>466</v>
      </c>
      <c r="J396">
        <v>1200</v>
      </c>
      <c r="K396" s="1" t="s">
        <v>469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 s="1" t="s">
        <v>149</v>
      </c>
      <c r="B397" s="1" t="s">
        <v>150</v>
      </c>
      <c r="C397" s="1" t="s">
        <v>167</v>
      </c>
      <c r="D397" s="1" t="s">
        <v>455</v>
      </c>
      <c r="E397">
        <v>3</v>
      </c>
      <c r="F397" s="10" t="str">
        <f>IF(final_data[[#This Row],[Total_applicants]]=0,"unknown","-")</f>
        <v>-</v>
      </c>
      <c r="G397" s="5">
        <v>80865</v>
      </c>
      <c r="H397" s="1" t="s">
        <v>43</v>
      </c>
      <c r="I397" s="1" t="s">
        <v>466</v>
      </c>
      <c r="J397">
        <v>1200</v>
      </c>
      <c r="K397" s="1" t="s">
        <v>469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</row>
    <row r="398" spans="1:42" x14ac:dyDescent="0.25">
      <c r="A398" s="1" t="s">
        <v>149</v>
      </c>
      <c r="B398" s="1" t="s">
        <v>150</v>
      </c>
      <c r="C398" s="1" t="s">
        <v>209</v>
      </c>
      <c r="D398" s="1" t="s">
        <v>452</v>
      </c>
      <c r="E398">
        <v>7</v>
      </c>
      <c r="F398" s="10" t="str">
        <f>IF(final_data[[#This Row],[Total_applicants]]=0,"unknown","-")</f>
        <v>-</v>
      </c>
      <c r="G398" s="5">
        <v>80865</v>
      </c>
      <c r="H398" s="1" t="s">
        <v>43</v>
      </c>
      <c r="I398" s="1" t="s">
        <v>465</v>
      </c>
      <c r="J398">
        <v>1200</v>
      </c>
      <c r="K398" s="1" t="s">
        <v>469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 s="1" t="s">
        <v>149</v>
      </c>
      <c r="B399" s="1" t="s">
        <v>150</v>
      </c>
      <c r="C399" s="1" t="s">
        <v>210</v>
      </c>
      <c r="D399" s="1" t="s">
        <v>452</v>
      </c>
      <c r="E399">
        <v>49</v>
      </c>
      <c r="F399" s="10" t="str">
        <f>IF(final_data[[#This Row],[Total_applicants]]=0,"unknown","-")</f>
        <v>-</v>
      </c>
      <c r="G399" s="5">
        <v>80865</v>
      </c>
      <c r="H399" s="1" t="s">
        <v>43</v>
      </c>
      <c r="I399" s="1" t="s">
        <v>466</v>
      </c>
      <c r="J399">
        <v>1200</v>
      </c>
      <c r="K399" s="1" t="s">
        <v>469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 s="1" t="s">
        <v>149</v>
      </c>
      <c r="B400" s="1" t="s">
        <v>150</v>
      </c>
      <c r="C400" s="1" t="s">
        <v>211</v>
      </c>
      <c r="D400" s="1" t="s">
        <v>456</v>
      </c>
      <c r="E400">
        <v>36</v>
      </c>
      <c r="F400" s="10" t="str">
        <f>IF(final_data[[#This Row],[Total_applicants]]=0,"unknown","-")</f>
        <v>-</v>
      </c>
      <c r="G400" s="5">
        <v>80865</v>
      </c>
      <c r="H400" s="1" t="s">
        <v>158</v>
      </c>
      <c r="I400" s="1" t="s">
        <v>467</v>
      </c>
      <c r="J400">
        <v>1200</v>
      </c>
      <c r="K400" s="1" t="s">
        <v>469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 s="1" t="s">
        <v>149</v>
      </c>
      <c r="B401" s="1" t="s">
        <v>150</v>
      </c>
      <c r="C401" s="1" t="s">
        <v>167</v>
      </c>
      <c r="D401" s="1" t="s">
        <v>452</v>
      </c>
      <c r="E401">
        <v>27</v>
      </c>
      <c r="F401" s="10" t="str">
        <f>IF(final_data[[#This Row],[Total_applicants]]=0,"unknown","-")</f>
        <v>-</v>
      </c>
      <c r="G401" s="5">
        <v>80865</v>
      </c>
      <c r="H401" s="1" t="s">
        <v>43</v>
      </c>
      <c r="I401" s="1" t="s">
        <v>466</v>
      </c>
      <c r="J401">
        <v>1200</v>
      </c>
      <c r="K401" s="1" t="s">
        <v>469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 s="1" t="s">
        <v>149</v>
      </c>
      <c r="B402" s="1" t="s">
        <v>150</v>
      </c>
      <c r="C402" s="1" t="s">
        <v>195</v>
      </c>
      <c r="D402" s="1" t="s">
        <v>451</v>
      </c>
      <c r="E402">
        <v>16</v>
      </c>
      <c r="F402" s="10" t="str">
        <f>IF(final_data[[#This Row],[Total_applicants]]=0,"unknown","-")</f>
        <v>-</v>
      </c>
      <c r="G402" s="5">
        <v>80865</v>
      </c>
      <c r="H402" s="1" t="s">
        <v>43</v>
      </c>
      <c r="I402" s="1" t="s">
        <v>466</v>
      </c>
      <c r="J402">
        <v>1200</v>
      </c>
      <c r="K402" s="1" t="s">
        <v>469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 s="1" t="s">
        <v>149</v>
      </c>
      <c r="B403" s="1" t="s">
        <v>150</v>
      </c>
      <c r="C403" s="1" t="s">
        <v>212</v>
      </c>
      <c r="D403" s="1" t="s">
        <v>449</v>
      </c>
      <c r="E403">
        <v>4</v>
      </c>
      <c r="F403" s="10" t="str">
        <f>IF(final_data[[#This Row],[Total_applicants]]=0,"unknown","-")</f>
        <v>-</v>
      </c>
      <c r="G403" s="5">
        <v>80865</v>
      </c>
      <c r="H403" s="1" t="s">
        <v>43</v>
      </c>
      <c r="I403" s="1" t="s">
        <v>465</v>
      </c>
      <c r="J403">
        <v>1200</v>
      </c>
      <c r="K403" s="1" t="s">
        <v>469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 s="1" t="s">
        <v>149</v>
      </c>
      <c r="B404" s="1" t="s">
        <v>150</v>
      </c>
      <c r="C404" s="1" t="s">
        <v>167</v>
      </c>
      <c r="D404" s="1" t="s">
        <v>449</v>
      </c>
      <c r="E404">
        <v>0</v>
      </c>
      <c r="F404" s="10" t="str">
        <f>IF(final_data[[#This Row],[Total_applicants]]=0,"unknown","-")</f>
        <v>unknown</v>
      </c>
      <c r="G404" s="5">
        <v>80865</v>
      </c>
      <c r="H404" s="1" t="s">
        <v>43</v>
      </c>
      <c r="I404" s="1" t="s">
        <v>466</v>
      </c>
      <c r="J404">
        <v>1200</v>
      </c>
      <c r="K404" s="1" t="s">
        <v>469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 s="1" t="s">
        <v>149</v>
      </c>
      <c r="B405" s="1" t="s">
        <v>150</v>
      </c>
      <c r="C405" s="1" t="s">
        <v>167</v>
      </c>
      <c r="D405" s="1" t="s">
        <v>455</v>
      </c>
      <c r="E405">
        <v>6</v>
      </c>
      <c r="F405" s="10" t="str">
        <f>IF(final_data[[#This Row],[Total_applicants]]=0,"unknown","-")</f>
        <v>-</v>
      </c>
      <c r="G405" s="5">
        <v>80865</v>
      </c>
      <c r="H405" s="1" t="s">
        <v>43</v>
      </c>
      <c r="I405" s="1" t="s">
        <v>466</v>
      </c>
      <c r="J405">
        <v>1200</v>
      </c>
      <c r="K405" s="1" t="s">
        <v>469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1</v>
      </c>
    </row>
    <row r="406" spans="1:42" x14ac:dyDescent="0.25">
      <c r="A406" s="1" t="s">
        <v>149</v>
      </c>
      <c r="B406" s="1" t="s">
        <v>150</v>
      </c>
      <c r="C406" s="1" t="s">
        <v>213</v>
      </c>
      <c r="D406" s="1" t="s">
        <v>451</v>
      </c>
      <c r="E406">
        <v>3</v>
      </c>
      <c r="F406" s="10" t="str">
        <f>IF(final_data[[#This Row],[Total_applicants]]=0,"unknown","-")</f>
        <v>-</v>
      </c>
      <c r="G406" s="5">
        <v>80865</v>
      </c>
      <c r="H406" s="1" t="s">
        <v>43</v>
      </c>
      <c r="I406" s="1" t="s">
        <v>466</v>
      </c>
      <c r="J406">
        <v>1200</v>
      </c>
      <c r="K406" s="1" t="s">
        <v>469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 s="1" t="s">
        <v>149</v>
      </c>
      <c r="B407" s="1" t="s">
        <v>150</v>
      </c>
      <c r="C407" s="1" t="s">
        <v>214</v>
      </c>
      <c r="D407" s="1" t="s">
        <v>451</v>
      </c>
      <c r="E407">
        <v>0</v>
      </c>
      <c r="F407" s="10" t="str">
        <f>IF(final_data[[#This Row],[Total_applicants]]=0,"unknown","-")</f>
        <v>unknown</v>
      </c>
      <c r="G407" s="5">
        <v>80865</v>
      </c>
      <c r="H407" s="1" t="s">
        <v>43</v>
      </c>
      <c r="I407" s="1" t="s">
        <v>465</v>
      </c>
      <c r="J407">
        <v>1200</v>
      </c>
      <c r="K407" s="1" t="s">
        <v>469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 s="1" t="s">
        <v>149</v>
      </c>
      <c r="B408" s="1" t="s">
        <v>150</v>
      </c>
      <c r="C408" s="1" t="s">
        <v>176</v>
      </c>
      <c r="D408" s="1" t="s">
        <v>455</v>
      </c>
      <c r="E408">
        <v>0</v>
      </c>
      <c r="F408" s="10" t="str">
        <f>IF(final_data[[#This Row],[Total_applicants]]=0,"unknown","-")</f>
        <v>unknown</v>
      </c>
      <c r="G408" s="5">
        <v>80865</v>
      </c>
      <c r="H408" s="1" t="s">
        <v>43</v>
      </c>
      <c r="I408" s="1" t="s">
        <v>465</v>
      </c>
      <c r="J408">
        <v>1200</v>
      </c>
      <c r="K408" s="1" t="s">
        <v>469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 s="1" t="s">
        <v>149</v>
      </c>
      <c r="B409" s="1" t="s">
        <v>150</v>
      </c>
      <c r="C409" s="1" t="s">
        <v>215</v>
      </c>
      <c r="D409" s="1" t="s">
        <v>460</v>
      </c>
      <c r="E409">
        <v>5</v>
      </c>
      <c r="F409" s="10" t="str">
        <f>IF(final_data[[#This Row],[Total_applicants]]=0,"unknown","-")</f>
        <v>-</v>
      </c>
      <c r="G409" s="5">
        <v>80865</v>
      </c>
      <c r="H409" s="1" t="s">
        <v>43</v>
      </c>
      <c r="I409" s="1" t="s">
        <v>466</v>
      </c>
      <c r="J409">
        <v>1200</v>
      </c>
      <c r="K409" s="1" t="s">
        <v>469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 s="1" t="s">
        <v>149</v>
      </c>
      <c r="B410" s="1" t="s">
        <v>150</v>
      </c>
      <c r="C410" s="1" t="s">
        <v>216</v>
      </c>
      <c r="D410" s="1" t="s">
        <v>451</v>
      </c>
      <c r="E410">
        <v>2</v>
      </c>
      <c r="F410" s="10" t="str">
        <f>IF(final_data[[#This Row],[Total_applicants]]=0,"unknown","-")</f>
        <v>-</v>
      </c>
      <c r="G410" s="5">
        <v>80865</v>
      </c>
      <c r="H410" s="1" t="s">
        <v>43</v>
      </c>
      <c r="I410" s="1" t="s">
        <v>466</v>
      </c>
      <c r="J410">
        <v>1200</v>
      </c>
      <c r="K410" s="1" t="s">
        <v>469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 s="1" t="s">
        <v>149</v>
      </c>
      <c r="B411" s="1" t="s">
        <v>150</v>
      </c>
      <c r="C411" s="1" t="s">
        <v>167</v>
      </c>
      <c r="D411" s="1" t="s">
        <v>449</v>
      </c>
      <c r="E411">
        <v>1</v>
      </c>
      <c r="F411" s="10" t="str">
        <f>IF(final_data[[#This Row],[Total_applicants]]=0,"unknown","-")</f>
        <v>-</v>
      </c>
      <c r="G411" s="5">
        <v>80865</v>
      </c>
      <c r="H411" s="1" t="s">
        <v>43</v>
      </c>
      <c r="I411" s="1" t="s">
        <v>466</v>
      </c>
      <c r="J411">
        <v>1200</v>
      </c>
      <c r="K411" s="1" t="s">
        <v>469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 s="1" t="s">
        <v>149</v>
      </c>
      <c r="B412" s="1" t="s">
        <v>150</v>
      </c>
      <c r="C412" s="1" t="s">
        <v>217</v>
      </c>
      <c r="D412" s="1" t="s">
        <v>451</v>
      </c>
      <c r="E412">
        <v>5</v>
      </c>
      <c r="F412" s="10" t="str">
        <f>IF(final_data[[#This Row],[Total_applicants]]=0,"unknown","-")</f>
        <v>-</v>
      </c>
      <c r="G412" s="5">
        <v>80865</v>
      </c>
      <c r="H412" s="1" t="s">
        <v>43</v>
      </c>
      <c r="I412" s="1" t="s">
        <v>466</v>
      </c>
      <c r="J412">
        <v>1200</v>
      </c>
      <c r="K412" s="1" t="s">
        <v>469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 s="1" t="s">
        <v>149</v>
      </c>
      <c r="B413" s="1" t="s">
        <v>150</v>
      </c>
      <c r="C413" s="1" t="s">
        <v>218</v>
      </c>
      <c r="D413" s="1" t="s">
        <v>451</v>
      </c>
      <c r="E413">
        <v>3</v>
      </c>
      <c r="F413" s="10" t="str">
        <f>IF(final_data[[#This Row],[Total_applicants]]=0,"unknown","-")</f>
        <v>-</v>
      </c>
      <c r="G413" s="5">
        <v>80865</v>
      </c>
      <c r="H413" s="1" t="s">
        <v>43</v>
      </c>
      <c r="I413" s="1" t="s">
        <v>465</v>
      </c>
      <c r="J413">
        <v>1200</v>
      </c>
      <c r="K413" s="1" t="s">
        <v>469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 s="1" t="s">
        <v>149</v>
      </c>
      <c r="B414" s="1" t="s">
        <v>150</v>
      </c>
      <c r="C414" s="1" t="s">
        <v>52</v>
      </c>
      <c r="D414" s="1" t="s">
        <v>452</v>
      </c>
      <c r="E414">
        <v>53</v>
      </c>
      <c r="F414" s="10" t="str">
        <f>IF(final_data[[#This Row],[Total_applicants]]=0,"unknown","-")</f>
        <v>-</v>
      </c>
      <c r="G414" s="5">
        <v>80865</v>
      </c>
      <c r="H414" s="1" t="s">
        <v>43</v>
      </c>
      <c r="I414" s="1" t="s">
        <v>466</v>
      </c>
      <c r="J414">
        <v>1200</v>
      </c>
      <c r="K414" s="1" t="s">
        <v>469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 s="1" t="s">
        <v>149</v>
      </c>
      <c r="B415" s="1" t="s">
        <v>150</v>
      </c>
      <c r="C415" s="1" t="s">
        <v>219</v>
      </c>
      <c r="D415" s="1" t="s">
        <v>449</v>
      </c>
      <c r="E415">
        <v>0</v>
      </c>
      <c r="F415" s="10" t="str">
        <f>IF(final_data[[#This Row],[Total_applicants]]=0,"unknown","-")</f>
        <v>unknown</v>
      </c>
      <c r="G415" s="5">
        <v>80865</v>
      </c>
      <c r="H415" s="1" t="s">
        <v>43</v>
      </c>
      <c r="I415" s="1" t="s">
        <v>466</v>
      </c>
      <c r="J415">
        <v>1200</v>
      </c>
      <c r="K415" s="1" t="s">
        <v>469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 s="1" t="s">
        <v>149</v>
      </c>
      <c r="B416" s="1" t="s">
        <v>150</v>
      </c>
      <c r="C416" s="1" t="s">
        <v>220</v>
      </c>
      <c r="D416" s="1" t="s">
        <v>451</v>
      </c>
      <c r="E416">
        <v>3</v>
      </c>
      <c r="F416" s="10" t="str">
        <f>IF(final_data[[#This Row],[Total_applicants]]=0,"unknown","-")</f>
        <v>-</v>
      </c>
      <c r="G416" s="5">
        <v>80865</v>
      </c>
      <c r="H416" s="1" t="s">
        <v>43</v>
      </c>
      <c r="I416" s="1" t="s">
        <v>465</v>
      </c>
      <c r="J416">
        <v>1200</v>
      </c>
      <c r="K416" s="1" t="s">
        <v>469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 s="1" t="s">
        <v>149</v>
      </c>
      <c r="B417" s="1" t="s">
        <v>150</v>
      </c>
      <c r="C417" s="1" t="s">
        <v>212</v>
      </c>
      <c r="D417" s="1" t="s">
        <v>452</v>
      </c>
      <c r="E417">
        <v>4</v>
      </c>
      <c r="F417" s="10" t="str">
        <f>IF(final_data[[#This Row],[Total_applicants]]=0,"unknown","-")</f>
        <v>-</v>
      </c>
      <c r="G417" s="5">
        <v>80865</v>
      </c>
      <c r="H417" s="1" t="s">
        <v>43</v>
      </c>
      <c r="I417" s="1" t="s">
        <v>465</v>
      </c>
      <c r="J417">
        <v>1200</v>
      </c>
      <c r="K417" s="1" t="s">
        <v>469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1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 s="1" t="s">
        <v>149</v>
      </c>
      <c r="B418" s="1" t="s">
        <v>150</v>
      </c>
      <c r="C418" s="1" t="s">
        <v>167</v>
      </c>
      <c r="D418" s="1" t="s">
        <v>452</v>
      </c>
      <c r="E418">
        <v>16</v>
      </c>
      <c r="F418" s="10" t="str">
        <f>IF(final_data[[#This Row],[Total_applicants]]=0,"unknown","-")</f>
        <v>-</v>
      </c>
      <c r="G418" s="5">
        <v>80865</v>
      </c>
      <c r="H418" s="1" t="s">
        <v>43</v>
      </c>
      <c r="I418" s="1" t="s">
        <v>466</v>
      </c>
      <c r="J418">
        <v>1200</v>
      </c>
      <c r="K418" s="1" t="s">
        <v>469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 s="1" t="s">
        <v>149</v>
      </c>
      <c r="B419" s="1" t="s">
        <v>150</v>
      </c>
      <c r="C419" s="1" t="s">
        <v>221</v>
      </c>
      <c r="D419" s="1" t="s">
        <v>451</v>
      </c>
      <c r="E419">
        <v>31</v>
      </c>
      <c r="F419" s="10" t="str">
        <f>IF(final_data[[#This Row],[Total_applicants]]=0,"unknown","-")</f>
        <v>-</v>
      </c>
      <c r="G419" s="5">
        <v>80865</v>
      </c>
      <c r="H419" s="1" t="s">
        <v>43</v>
      </c>
      <c r="I419" s="1" t="s">
        <v>466</v>
      </c>
      <c r="J419">
        <v>1200</v>
      </c>
      <c r="K419" s="1" t="s">
        <v>469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</row>
    <row r="420" spans="1:42" x14ac:dyDescent="0.25">
      <c r="A420" s="1" t="s">
        <v>149</v>
      </c>
      <c r="B420" s="1" t="s">
        <v>150</v>
      </c>
      <c r="C420" s="1" t="s">
        <v>222</v>
      </c>
      <c r="D420" s="1" t="s">
        <v>451</v>
      </c>
      <c r="E420">
        <v>2</v>
      </c>
      <c r="F420" s="10" t="str">
        <f>IF(final_data[[#This Row],[Total_applicants]]=0,"unknown","-")</f>
        <v>-</v>
      </c>
      <c r="G420" s="5">
        <v>80865</v>
      </c>
      <c r="H420" s="1" t="s">
        <v>43</v>
      </c>
      <c r="I420" s="1" t="s">
        <v>465</v>
      </c>
      <c r="J420">
        <v>1200</v>
      </c>
      <c r="K420" s="1" t="s">
        <v>469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 s="1" t="s">
        <v>149</v>
      </c>
      <c r="B421" s="1" t="s">
        <v>150</v>
      </c>
      <c r="C421" s="1" t="s">
        <v>167</v>
      </c>
      <c r="D421" s="1" t="s">
        <v>451</v>
      </c>
      <c r="E421">
        <v>35</v>
      </c>
      <c r="F421" s="10" t="str">
        <f>IF(final_data[[#This Row],[Total_applicants]]=0,"unknown","-")</f>
        <v>-</v>
      </c>
      <c r="G421" s="5">
        <v>80865</v>
      </c>
      <c r="H421" s="1" t="s">
        <v>43</v>
      </c>
      <c r="I421" s="1" t="s">
        <v>466</v>
      </c>
      <c r="J421">
        <v>1200</v>
      </c>
      <c r="K421" s="1" t="s">
        <v>469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 s="1" t="s">
        <v>149</v>
      </c>
      <c r="B422" s="1" t="s">
        <v>150</v>
      </c>
      <c r="C422" s="1" t="s">
        <v>223</v>
      </c>
      <c r="D422" s="1" t="s">
        <v>451</v>
      </c>
      <c r="E422">
        <v>7</v>
      </c>
      <c r="F422" s="10" t="str">
        <f>IF(final_data[[#This Row],[Total_applicants]]=0,"unknown","-")</f>
        <v>-</v>
      </c>
      <c r="G422" s="5">
        <v>80865</v>
      </c>
      <c r="H422" s="1" t="s">
        <v>43</v>
      </c>
      <c r="I422" s="1" t="s">
        <v>466</v>
      </c>
      <c r="J422">
        <v>1200</v>
      </c>
      <c r="K422" s="1" t="s">
        <v>469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 s="1" t="s">
        <v>149</v>
      </c>
      <c r="B423" s="1" t="s">
        <v>150</v>
      </c>
      <c r="C423" s="1" t="s">
        <v>224</v>
      </c>
      <c r="D423" s="1" t="s">
        <v>451</v>
      </c>
      <c r="E423">
        <v>0</v>
      </c>
      <c r="F423" s="10" t="str">
        <f>IF(final_data[[#This Row],[Total_applicants]]=0,"unknown","-")</f>
        <v>unknown</v>
      </c>
      <c r="G423" s="5">
        <v>80865</v>
      </c>
      <c r="H423" s="1" t="s">
        <v>43</v>
      </c>
      <c r="I423" s="1" t="s">
        <v>465</v>
      </c>
      <c r="J423">
        <v>1200</v>
      </c>
      <c r="K423" s="1" t="s">
        <v>469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 s="1" t="s">
        <v>149</v>
      </c>
      <c r="B424" s="1" t="s">
        <v>150</v>
      </c>
      <c r="C424" s="1" t="s">
        <v>49</v>
      </c>
      <c r="D424" s="1" t="s">
        <v>449</v>
      </c>
      <c r="E424">
        <v>118</v>
      </c>
      <c r="F424" s="10" t="str">
        <f>IF(final_data[[#This Row],[Total_applicants]]=0,"unknown","-")</f>
        <v>-</v>
      </c>
      <c r="G424" s="5">
        <v>80865</v>
      </c>
      <c r="H424" s="1" t="s">
        <v>43</v>
      </c>
      <c r="I424" s="1" t="s">
        <v>466</v>
      </c>
      <c r="J424">
        <v>1200</v>
      </c>
      <c r="K424" s="1" t="s">
        <v>469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25">
      <c r="A425" s="1" t="s">
        <v>149</v>
      </c>
      <c r="B425" s="1" t="s">
        <v>150</v>
      </c>
      <c r="C425" s="1" t="s">
        <v>176</v>
      </c>
      <c r="D425" s="1" t="s">
        <v>455</v>
      </c>
      <c r="E425">
        <v>1</v>
      </c>
      <c r="F425" s="10" t="str">
        <f>IF(final_data[[#This Row],[Total_applicants]]=0,"unknown","-")</f>
        <v>-</v>
      </c>
      <c r="G425" s="5">
        <v>80865</v>
      </c>
      <c r="H425" s="1" t="s">
        <v>43</v>
      </c>
      <c r="I425" s="1" t="s">
        <v>465</v>
      </c>
      <c r="J425">
        <v>1200</v>
      </c>
      <c r="K425" s="1" t="s">
        <v>469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 s="1" t="s">
        <v>149</v>
      </c>
      <c r="B426" s="1" t="s">
        <v>150</v>
      </c>
      <c r="C426" s="1" t="s">
        <v>176</v>
      </c>
      <c r="D426" s="1" t="s">
        <v>455</v>
      </c>
      <c r="E426">
        <v>0</v>
      </c>
      <c r="F426" s="10" t="str">
        <f>IF(final_data[[#This Row],[Total_applicants]]=0,"unknown","-")</f>
        <v>unknown</v>
      </c>
      <c r="G426" s="5">
        <v>80865</v>
      </c>
      <c r="H426" s="1" t="s">
        <v>43</v>
      </c>
      <c r="I426" s="1" t="s">
        <v>465</v>
      </c>
      <c r="J426">
        <v>1200</v>
      </c>
      <c r="K426" s="1" t="s">
        <v>469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 s="1" t="s">
        <v>149</v>
      </c>
      <c r="B427" s="1" t="s">
        <v>150</v>
      </c>
      <c r="C427" s="1" t="s">
        <v>167</v>
      </c>
      <c r="D427" s="1" t="s">
        <v>455</v>
      </c>
      <c r="E427">
        <v>0</v>
      </c>
      <c r="F427" s="10" t="str">
        <f>IF(final_data[[#This Row],[Total_applicants]]=0,"unknown","-")</f>
        <v>unknown</v>
      </c>
      <c r="G427" s="5">
        <v>80865</v>
      </c>
      <c r="H427" s="1" t="s">
        <v>43</v>
      </c>
      <c r="I427" s="1" t="s">
        <v>466</v>
      </c>
      <c r="J427">
        <v>1200</v>
      </c>
      <c r="K427" s="1" t="s">
        <v>469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 s="1" t="s">
        <v>149</v>
      </c>
      <c r="B428" s="1" t="s">
        <v>150</v>
      </c>
      <c r="C428" s="1" t="s">
        <v>225</v>
      </c>
      <c r="D428" s="1" t="s">
        <v>451</v>
      </c>
      <c r="E428">
        <v>4</v>
      </c>
      <c r="F428" s="10" t="str">
        <f>IF(final_data[[#This Row],[Total_applicants]]=0,"unknown","-")</f>
        <v>-</v>
      </c>
      <c r="G428" s="5">
        <v>80865</v>
      </c>
      <c r="H428" s="1" t="s">
        <v>43</v>
      </c>
      <c r="I428" s="1" t="s">
        <v>466</v>
      </c>
      <c r="J428">
        <v>1200</v>
      </c>
      <c r="K428" s="1" t="s">
        <v>469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</row>
    <row r="429" spans="1:42" x14ac:dyDescent="0.25">
      <c r="A429" s="1" t="s">
        <v>149</v>
      </c>
      <c r="B429" s="1" t="s">
        <v>150</v>
      </c>
      <c r="C429" s="1" t="s">
        <v>167</v>
      </c>
      <c r="D429" s="1" t="s">
        <v>451</v>
      </c>
      <c r="E429">
        <v>9</v>
      </c>
      <c r="F429" s="10" t="str">
        <f>IF(final_data[[#This Row],[Total_applicants]]=0,"unknown","-")</f>
        <v>-</v>
      </c>
      <c r="G429" s="5">
        <v>80865</v>
      </c>
      <c r="H429" s="1" t="s">
        <v>43</v>
      </c>
      <c r="I429" s="1" t="s">
        <v>466</v>
      </c>
      <c r="J429">
        <v>1200</v>
      </c>
      <c r="K429" s="1" t="s">
        <v>469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25">
      <c r="A430" s="1" t="s">
        <v>149</v>
      </c>
      <c r="B430" s="1" t="s">
        <v>150</v>
      </c>
      <c r="C430" s="1" t="s">
        <v>226</v>
      </c>
      <c r="D430" s="1" t="s">
        <v>451</v>
      </c>
      <c r="E430">
        <v>5</v>
      </c>
      <c r="F430" s="10" t="str">
        <f>IF(final_data[[#This Row],[Total_applicants]]=0,"unknown","-")</f>
        <v>-</v>
      </c>
      <c r="G430" s="5">
        <v>80865</v>
      </c>
      <c r="H430" s="1" t="s">
        <v>43</v>
      </c>
      <c r="I430" s="1" t="s">
        <v>465</v>
      </c>
      <c r="J430">
        <v>1200</v>
      </c>
      <c r="K430" s="1" t="s">
        <v>469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 s="1" t="s">
        <v>149</v>
      </c>
      <c r="B431" s="1" t="s">
        <v>150</v>
      </c>
      <c r="C431" s="1" t="s">
        <v>227</v>
      </c>
      <c r="D431" s="1" t="s">
        <v>451</v>
      </c>
      <c r="E431">
        <v>12</v>
      </c>
      <c r="F431" s="10" t="str">
        <f>IF(final_data[[#This Row],[Total_applicants]]=0,"unknown","-")</f>
        <v>-</v>
      </c>
      <c r="G431" s="5">
        <v>80865</v>
      </c>
      <c r="H431" s="1" t="s">
        <v>158</v>
      </c>
      <c r="I431" s="1" t="s">
        <v>466</v>
      </c>
      <c r="J431">
        <v>1200</v>
      </c>
      <c r="K431" s="1" t="s">
        <v>469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 s="1" t="s">
        <v>149</v>
      </c>
      <c r="B432" s="1" t="s">
        <v>150</v>
      </c>
      <c r="C432" s="1" t="s">
        <v>228</v>
      </c>
      <c r="D432" s="1" t="s">
        <v>454</v>
      </c>
      <c r="E432">
        <v>10</v>
      </c>
      <c r="F432" s="10" t="str">
        <f>IF(final_data[[#This Row],[Total_applicants]]=0,"unknown","-")</f>
        <v>-</v>
      </c>
      <c r="G432" s="5">
        <v>80865</v>
      </c>
      <c r="H432" s="1" t="s">
        <v>43</v>
      </c>
      <c r="I432" s="1" t="s">
        <v>465</v>
      </c>
      <c r="J432">
        <v>1200</v>
      </c>
      <c r="K432" s="1" t="s">
        <v>469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1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1</v>
      </c>
      <c r="AP432">
        <v>1</v>
      </c>
    </row>
    <row r="433" spans="1:42" x14ac:dyDescent="0.25">
      <c r="A433" s="1" t="s">
        <v>149</v>
      </c>
      <c r="B433" s="1" t="s">
        <v>150</v>
      </c>
      <c r="C433" s="1" t="s">
        <v>229</v>
      </c>
      <c r="D433" s="1" t="s">
        <v>451</v>
      </c>
      <c r="E433">
        <v>12</v>
      </c>
      <c r="F433" s="10" t="str">
        <f>IF(final_data[[#This Row],[Total_applicants]]=0,"unknown","-")</f>
        <v>-</v>
      </c>
      <c r="G433" s="5">
        <v>80865</v>
      </c>
      <c r="H433" s="1" t="s">
        <v>43</v>
      </c>
      <c r="I433" s="1" t="s">
        <v>466</v>
      </c>
      <c r="J433">
        <v>1200</v>
      </c>
      <c r="K433" s="1" t="s">
        <v>469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 s="1" t="s">
        <v>149</v>
      </c>
      <c r="B434" s="1" t="s">
        <v>150</v>
      </c>
      <c r="C434" s="1" t="s">
        <v>230</v>
      </c>
      <c r="D434" s="1" t="s">
        <v>452</v>
      </c>
      <c r="E434">
        <v>16</v>
      </c>
      <c r="F434" s="10" t="str">
        <f>IF(final_data[[#This Row],[Total_applicants]]=0,"unknown","-")</f>
        <v>-</v>
      </c>
      <c r="G434" s="5">
        <v>80865</v>
      </c>
      <c r="H434" s="1" t="s">
        <v>43</v>
      </c>
      <c r="I434" s="1" t="s">
        <v>466</v>
      </c>
      <c r="J434">
        <v>1200</v>
      </c>
      <c r="K434" s="1" t="s">
        <v>469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 s="1" t="s">
        <v>149</v>
      </c>
      <c r="B435" s="1" t="s">
        <v>150</v>
      </c>
      <c r="C435" s="1" t="s">
        <v>231</v>
      </c>
      <c r="D435" s="1" t="s">
        <v>451</v>
      </c>
      <c r="E435">
        <v>0</v>
      </c>
      <c r="F435" s="10" t="str">
        <f>IF(final_data[[#This Row],[Total_applicants]]=0,"unknown","-")</f>
        <v>unknown</v>
      </c>
      <c r="G435" s="5">
        <v>80865</v>
      </c>
      <c r="H435" s="1" t="s">
        <v>43</v>
      </c>
      <c r="I435" s="1" t="s">
        <v>465</v>
      </c>
      <c r="J435">
        <v>1200</v>
      </c>
      <c r="K435" s="1" t="s">
        <v>469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 s="1" t="s">
        <v>149</v>
      </c>
      <c r="B436" s="1" t="s">
        <v>150</v>
      </c>
      <c r="C436" s="1" t="s">
        <v>167</v>
      </c>
      <c r="D436" s="1" t="s">
        <v>449</v>
      </c>
      <c r="E436">
        <v>0</v>
      </c>
      <c r="F436" s="10" t="str">
        <f>IF(final_data[[#This Row],[Total_applicants]]=0,"unknown","-")</f>
        <v>unknown</v>
      </c>
      <c r="G436" s="5">
        <v>80865</v>
      </c>
      <c r="H436" s="1" t="s">
        <v>43</v>
      </c>
      <c r="I436" s="1" t="s">
        <v>466</v>
      </c>
      <c r="J436">
        <v>1200</v>
      </c>
      <c r="K436" s="1" t="s">
        <v>469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 s="1" t="s">
        <v>149</v>
      </c>
      <c r="B437" s="1" t="s">
        <v>150</v>
      </c>
      <c r="C437" s="1" t="s">
        <v>232</v>
      </c>
      <c r="D437" s="1" t="s">
        <v>455</v>
      </c>
      <c r="E437">
        <v>1</v>
      </c>
      <c r="F437" s="10" t="str">
        <f>IF(final_data[[#This Row],[Total_applicants]]=0,"unknown","-")</f>
        <v>-</v>
      </c>
      <c r="G437" s="5">
        <v>80865</v>
      </c>
      <c r="H437" s="1" t="s">
        <v>43</v>
      </c>
      <c r="I437" s="1" t="s">
        <v>466</v>
      </c>
      <c r="J437">
        <v>1200</v>
      </c>
      <c r="K437" s="1" t="s">
        <v>469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 s="1" t="s">
        <v>149</v>
      </c>
      <c r="B438" s="1" t="s">
        <v>150</v>
      </c>
      <c r="C438" s="1" t="s">
        <v>189</v>
      </c>
      <c r="D438" s="1" t="s">
        <v>452</v>
      </c>
      <c r="E438">
        <v>7</v>
      </c>
      <c r="F438" s="10" t="str">
        <f>IF(final_data[[#This Row],[Total_applicants]]=0,"unknown","-")</f>
        <v>-</v>
      </c>
      <c r="G438" s="5">
        <v>80865</v>
      </c>
      <c r="H438" s="1" t="s">
        <v>43</v>
      </c>
      <c r="I438" s="1" t="s">
        <v>466</v>
      </c>
      <c r="J438">
        <v>1200</v>
      </c>
      <c r="K438" s="1" t="s">
        <v>469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 s="1" t="s">
        <v>149</v>
      </c>
      <c r="B439" s="1" t="s">
        <v>150</v>
      </c>
      <c r="C439" s="1" t="s">
        <v>233</v>
      </c>
      <c r="D439" s="1" t="s">
        <v>452</v>
      </c>
      <c r="E439">
        <v>3</v>
      </c>
      <c r="F439" s="10" t="str">
        <f>IF(final_data[[#This Row],[Total_applicants]]=0,"unknown","-")</f>
        <v>-</v>
      </c>
      <c r="G439" s="5">
        <v>80865</v>
      </c>
      <c r="H439" s="1" t="s">
        <v>43</v>
      </c>
      <c r="I439" s="1" t="s">
        <v>465</v>
      </c>
      <c r="J439">
        <v>1200</v>
      </c>
      <c r="K439" s="1" t="s">
        <v>469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1</v>
      </c>
    </row>
    <row r="440" spans="1:42" x14ac:dyDescent="0.25">
      <c r="A440" s="1" t="s">
        <v>149</v>
      </c>
      <c r="B440" s="1" t="s">
        <v>150</v>
      </c>
      <c r="C440" s="1" t="s">
        <v>234</v>
      </c>
      <c r="D440" s="1" t="s">
        <v>451</v>
      </c>
      <c r="E440">
        <v>0</v>
      </c>
      <c r="F440" s="10" t="str">
        <f>IF(final_data[[#This Row],[Total_applicants]]=0,"unknown","-")</f>
        <v>unknown</v>
      </c>
      <c r="G440" s="5">
        <v>80865</v>
      </c>
      <c r="H440" s="1" t="s">
        <v>43</v>
      </c>
      <c r="I440" s="1" t="s">
        <v>465</v>
      </c>
      <c r="J440">
        <v>1200</v>
      </c>
      <c r="K440" s="1" t="s">
        <v>469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</row>
    <row r="441" spans="1:42" x14ac:dyDescent="0.25">
      <c r="A441" s="1" t="s">
        <v>149</v>
      </c>
      <c r="B441" s="1" t="s">
        <v>150</v>
      </c>
      <c r="C441" s="1" t="s">
        <v>189</v>
      </c>
      <c r="D441" s="1" t="s">
        <v>451</v>
      </c>
      <c r="E441">
        <v>15</v>
      </c>
      <c r="F441" s="10" t="str">
        <f>IF(final_data[[#This Row],[Total_applicants]]=0,"unknown","-")</f>
        <v>-</v>
      </c>
      <c r="G441" s="5">
        <v>80865</v>
      </c>
      <c r="H441" s="1" t="s">
        <v>43</v>
      </c>
      <c r="I441" s="1" t="s">
        <v>466</v>
      </c>
      <c r="J441">
        <v>1200</v>
      </c>
      <c r="K441" s="1" t="s">
        <v>469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 s="1" t="s">
        <v>149</v>
      </c>
      <c r="B442" s="1" t="s">
        <v>150</v>
      </c>
      <c r="C442" s="1" t="s">
        <v>176</v>
      </c>
      <c r="D442" s="1" t="s">
        <v>451</v>
      </c>
      <c r="E442">
        <v>33</v>
      </c>
      <c r="F442" s="10" t="str">
        <f>IF(final_data[[#This Row],[Total_applicants]]=0,"unknown","-")</f>
        <v>-</v>
      </c>
      <c r="G442" s="5">
        <v>80865</v>
      </c>
      <c r="H442" s="1" t="s">
        <v>43</v>
      </c>
      <c r="I442" s="1" t="s">
        <v>465</v>
      </c>
      <c r="J442">
        <v>1200</v>
      </c>
      <c r="K442" s="1" t="s">
        <v>469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 s="1" t="s">
        <v>149</v>
      </c>
      <c r="B443" s="1" t="s">
        <v>150</v>
      </c>
      <c r="C443" s="1" t="s">
        <v>52</v>
      </c>
      <c r="D443" s="1" t="s">
        <v>452</v>
      </c>
      <c r="E443">
        <v>25</v>
      </c>
      <c r="F443" s="10" t="str">
        <f>IF(final_data[[#This Row],[Total_applicants]]=0,"unknown","-")</f>
        <v>-</v>
      </c>
      <c r="G443" s="5">
        <v>80865</v>
      </c>
      <c r="H443" s="1" t="s">
        <v>43</v>
      </c>
      <c r="I443" s="1" t="s">
        <v>466</v>
      </c>
      <c r="J443">
        <v>1200</v>
      </c>
      <c r="K443" s="1" t="s">
        <v>469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 s="1" t="s">
        <v>149</v>
      </c>
      <c r="B444" s="1" t="s">
        <v>150</v>
      </c>
      <c r="C444" s="1" t="s">
        <v>235</v>
      </c>
      <c r="D444" s="1" t="s">
        <v>451</v>
      </c>
      <c r="E444">
        <v>7</v>
      </c>
      <c r="F444" s="10" t="str">
        <f>IF(final_data[[#This Row],[Total_applicants]]=0,"unknown","-")</f>
        <v>-</v>
      </c>
      <c r="G444" s="5">
        <v>80865</v>
      </c>
      <c r="H444" s="1" t="s">
        <v>43</v>
      </c>
      <c r="I444" s="1" t="s">
        <v>465</v>
      </c>
      <c r="J444">
        <v>1200</v>
      </c>
      <c r="K444" s="1" t="s">
        <v>469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 s="1" t="s">
        <v>149</v>
      </c>
      <c r="B445" s="1" t="s">
        <v>150</v>
      </c>
      <c r="C445" s="1" t="s">
        <v>236</v>
      </c>
      <c r="D445" s="1" t="s">
        <v>451</v>
      </c>
      <c r="E445">
        <v>112</v>
      </c>
      <c r="F445" s="10" t="str">
        <f>IF(final_data[[#This Row],[Total_applicants]]=0,"unknown","-")</f>
        <v>-</v>
      </c>
      <c r="G445" s="5">
        <v>80865</v>
      </c>
      <c r="H445" s="1" t="s">
        <v>43</v>
      </c>
      <c r="I445" s="1" t="s">
        <v>466</v>
      </c>
      <c r="J445">
        <v>1200</v>
      </c>
      <c r="K445" s="1" t="s">
        <v>469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 s="1" t="s">
        <v>149</v>
      </c>
      <c r="B446" s="1" t="s">
        <v>150</v>
      </c>
      <c r="C446" s="1" t="s">
        <v>176</v>
      </c>
      <c r="D446" s="1" t="s">
        <v>449</v>
      </c>
      <c r="E446">
        <v>2</v>
      </c>
      <c r="F446" s="10" t="str">
        <f>IF(final_data[[#This Row],[Total_applicants]]=0,"unknown","-")</f>
        <v>-</v>
      </c>
      <c r="G446" s="5">
        <v>80865</v>
      </c>
      <c r="H446" s="1" t="s">
        <v>43</v>
      </c>
      <c r="I446" s="1" t="s">
        <v>465</v>
      </c>
      <c r="J446">
        <v>1200</v>
      </c>
      <c r="K446" s="1" t="s">
        <v>469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 x14ac:dyDescent="0.25">
      <c r="A447" s="1" t="s">
        <v>149</v>
      </c>
      <c r="B447" s="1" t="s">
        <v>150</v>
      </c>
      <c r="C447" s="1" t="s">
        <v>237</v>
      </c>
      <c r="D447" s="1" t="s">
        <v>451</v>
      </c>
      <c r="E447">
        <v>53</v>
      </c>
      <c r="F447" s="10" t="str">
        <f>IF(final_data[[#This Row],[Total_applicants]]=0,"unknown","-")</f>
        <v>-</v>
      </c>
      <c r="G447" s="5">
        <v>80865</v>
      </c>
      <c r="H447" s="1" t="s">
        <v>43</v>
      </c>
      <c r="I447" s="1" t="s">
        <v>466</v>
      </c>
      <c r="J447">
        <v>1200</v>
      </c>
      <c r="K447" s="1" t="s">
        <v>469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 s="1" t="s">
        <v>149</v>
      </c>
      <c r="B448" s="1" t="s">
        <v>150</v>
      </c>
      <c r="C448" s="1" t="s">
        <v>238</v>
      </c>
      <c r="D448" s="1" t="s">
        <v>451</v>
      </c>
      <c r="E448">
        <v>0</v>
      </c>
      <c r="F448" s="10" t="str">
        <f>IF(final_data[[#This Row],[Total_applicants]]=0,"unknown","-")</f>
        <v>unknown</v>
      </c>
      <c r="G448" s="5">
        <v>80865</v>
      </c>
      <c r="H448" s="1" t="s">
        <v>43</v>
      </c>
      <c r="I448" s="1" t="s">
        <v>465</v>
      </c>
      <c r="J448">
        <v>1200</v>
      </c>
      <c r="K448" s="1" t="s">
        <v>469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 s="1" t="s">
        <v>149</v>
      </c>
      <c r="B449" s="1" t="s">
        <v>150</v>
      </c>
      <c r="C449" s="1" t="s">
        <v>239</v>
      </c>
      <c r="D449" s="1" t="s">
        <v>451</v>
      </c>
      <c r="E449">
        <v>0</v>
      </c>
      <c r="F449" s="10" t="str">
        <f>IF(final_data[[#This Row],[Total_applicants]]=0,"unknown","-")</f>
        <v>unknown</v>
      </c>
      <c r="G449" s="5">
        <v>80865</v>
      </c>
      <c r="H449" s="1" t="s">
        <v>43</v>
      </c>
      <c r="I449" s="1" t="s">
        <v>466</v>
      </c>
      <c r="J449">
        <v>1200</v>
      </c>
      <c r="K449" s="1" t="s">
        <v>469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 s="1" t="s">
        <v>149</v>
      </c>
      <c r="B450" s="1" t="s">
        <v>150</v>
      </c>
      <c r="C450" s="1" t="s">
        <v>183</v>
      </c>
      <c r="D450" s="1" t="s">
        <v>452</v>
      </c>
      <c r="E450">
        <v>14</v>
      </c>
      <c r="F450" s="10" t="str">
        <f>IF(final_data[[#This Row],[Total_applicants]]=0,"unknown","-")</f>
        <v>-</v>
      </c>
      <c r="G450" s="5">
        <v>80865</v>
      </c>
      <c r="H450" s="1" t="s">
        <v>43</v>
      </c>
      <c r="I450" s="1" t="s">
        <v>465</v>
      </c>
      <c r="J450">
        <v>1200</v>
      </c>
      <c r="K450" s="1" t="s">
        <v>469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1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 s="1" t="s">
        <v>149</v>
      </c>
      <c r="B451" s="1" t="s">
        <v>150</v>
      </c>
      <c r="C451" s="1" t="s">
        <v>172</v>
      </c>
      <c r="D451" s="1" t="s">
        <v>449</v>
      </c>
      <c r="E451">
        <v>48</v>
      </c>
      <c r="F451" s="10" t="str">
        <f>IF(final_data[[#This Row],[Total_applicants]]=0,"unknown","-")</f>
        <v>-</v>
      </c>
      <c r="G451" s="5">
        <v>80865</v>
      </c>
      <c r="H451" s="1" t="s">
        <v>43</v>
      </c>
      <c r="I451" s="1" t="s">
        <v>465</v>
      </c>
      <c r="J451">
        <v>1200</v>
      </c>
      <c r="K451" s="1" t="s">
        <v>469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 s="1" t="s">
        <v>149</v>
      </c>
      <c r="B452" s="1" t="s">
        <v>150</v>
      </c>
      <c r="C452" s="1" t="s">
        <v>240</v>
      </c>
      <c r="D452" s="1" t="s">
        <v>449</v>
      </c>
      <c r="E452">
        <v>85</v>
      </c>
      <c r="F452" s="10" t="str">
        <f>IF(final_data[[#This Row],[Total_applicants]]=0,"unknown","-")</f>
        <v>-</v>
      </c>
      <c r="G452" s="5">
        <v>80865</v>
      </c>
      <c r="H452" s="1" t="s">
        <v>43</v>
      </c>
      <c r="I452" s="1" t="s">
        <v>465</v>
      </c>
      <c r="J452">
        <v>1200</v>
      </c>
      <c r="K452" s="1" t="s">
        <v>469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 s="1" t="s">
        <v>149</v>
      </c>
      <c r="B453" s="1" t="s">
        <v>150</v>
      </c>
      <c r="C453" s="1" t="s">
        <v>167</v>
      </c>
      <c r="D453" s="1" t="s">
        <v>455</v>
      </c>
      <c r="E453">
        <v>1</v>
      </c>
      <c r="F453" s="10" t="str">
        <f>IF(final_data[[#This Row],[Total_applicants]]=0,"unknown","-")</f>
        <v>-</v>
      </c>
      <c r="G453" s="5">
        <v>80865</v>
      </c>
      <c r="H453" s="1" t="s">
        <v>43</v>
      </c>
      <c r="I453" s="1" t="s">
        <v>466</v>
      </c>
      <c r="J453">
        <v>1200</v>
      </c>
      <c r="K453" s="1" t="s">
        <v>469</v>
      </c>
      <c r="L453">
        <v>1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 s="1" t="s">
        <v>149</v>
      </c>
      <c r="B454" s="1" t="s">
        <v>150</v>
      </c>
      <c r="C454" s="1" t="s">
        <v>241</v>
      </c>
      <c r="D454" s="1" t="s">
        <v>452</v>
      </c>
      <c r="E454">
        <v>6</v>
      </c>
      <c r="F454" s="10" t="str">
        <f>IF(final_data[[#This Row],[Total_applicants]]=0,"unknown","-")</f>
        <v>-</v>
      </c>
      <c r="G454" s="5">
        <v>80865</v>
      </c>
      <c r="H454" s="1" t="s">
        <v>43</v>
      </c>
      <c r="I454" s="1" t="s">
        <v>466</v>
      </c>
      <c r="J454">
        <v>1200</v>
      </c>
      <c r="K454" s="1" t="s">
        <v>469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 s="1" t="s">
        <v>149</v>
      </c>
      <c r="B455" s="1" t="s">
        <v>150</v>
      </c>
      <c r="C455" s="1" t="s">
        <v>242</v>
      </c>
      <c r="D455" s="1" t="s">
        <v>451</v>
      </c>
      <c r="E455">
        <v>0</v>
      </c>
      <c r="F455" s="10" t="str">
        <f>IF(final_data[[#This Row],[Total_applicants]]=0,"unknown","-")</f>
        <v>unknown</v>
      </c>
      <c r="G455" s="5">
        <v>80865</v>
      </c>
      <c r="H455" s="1" t="s">
        <v>43</v>
      </c>
      <c r="I455" s="1" t="s">
        <v>466</v>
      </c>
      <c r="J455">
        <v>1200</v>
      </c>
      <c r="K455" s="1" t="s">
        <v>469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 s="1" t="s">
        <v>149</v>
      </c>
      <c r="B456" s="1" t="s">
        <v>150</v>
      </c>
      <c r="C456" s="1" t="s">
        <v>230</v>
      </c>
      <c r="D456" s="1" t="s">
        <v>449</v>
      </c>
      <c r="E456">
        <v>0</v>
      </c>
      <c r="F456" s="10" t="str">
        <f>IF(final_data[[#This Row],[Total_applicants]]=0,"unknown","-")</f>
        <v>unknown</v>
      </c>
      <c r="G456" s="5">
        <v>80865</v>
      </c>
      <c r="H456" s="1" t="s">
        <v>43</v>
      </c>
      <c r="I456" s="1" t="s">
        <v>466</v>
      </c>
      <c r="J456">
        <v>1200</v>
      </c>
      <c r="K456" s="1" t="s">
        <v>469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 s="1" t="s">
        <v>149</v>
      </c>
      <c r="B457" s="1" t="s">
        <v>150</v>
      </c>
      <c r="C457" s="1" t="s">
        <v>176</v>
      </c>
      <c r="D457" s="1" t="s">
        <v>449</v>
      </c>
      <c r="E457">
        <v>2</v>
      </c>
      <c r="F457" s="10" t="str">
        <f>IF(final_data[[#This Row],[Total_applicants]]=0,"unknown","-")</f>
        <v>-</v>
      </c>
      <c r="G457" s="5">
        <v>80865</v>
      </c>
      <c r="H457" s="1" t="s">
        <v>43</v>
      </c>
      <c r="I457" s="1" t="s">
        <v>465</v>
      </c>
      <c r="J457">
        <v>1200</v>
      </c>
      <c r="K457" s="1" t="s">
        <v>469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1</v>
      </c>
    </row>
    <row r="458" spans="1:42" x14ac:dyDescent="0.25">
      <c r="A458" s="1" t="s">
        <v>149</v>
      </c>
      <c r="B458" s="1" t="s">
        <v>150</v>
      </c>
      <c r="C458" s="1" t="s">
        <v>243</v>
      </c>
      <c r="D458" s="1" t="s">
        <v>449</v>
      </c>
      <c r="E458">
        <v>4</v>
      </c>
      <c r="F458" s="10" t="str">
        <f>IF(final_data[[#This Row],[Total_applicants]]=0,"unknown","-")</f>
        <v>-</v>
      </c>
      <c r="G458" s="5">
        <v>80865</v>
      </c>
      <c r="H458" s="1" t="s">
        <v>43</v>
      </c>
      <c r="I458" s="1" t="s">
        <v>466</v>
      </c>
      <c r="J458">
        <v>1200</v>
      </c>
      <c r="K458" s="1" t="s">
        <v>469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 s="1" t="s">
        <v>149</v>
      </c>
      <c r="B459" s="1" t="s">
        <v>150</v>
      </c>
      <c r="C459" s="1" t="s">
        <v>221</v>
      </c>
      <c r="D459" s="1" t="s">
        <v>450</v>
      </c>
      <c r="E459">
        <v>4</v>
      </c>
      <c r="F459" s="10" t="str">
        <f>IF(final_data[[#This Row],[Total_applicants]]=0,"unknown","-")</f>
        <v>-</v>
      </c>
      <c r="G459" s="5">
        <v>80865</v>
      </c>
      <c r="H459" s="1" t="s">
        <v>43</v>
      </c>
      <c r="I459" s="1" t="s">
        <v>466</v>
      </c>
      <c r="J459">
        <v>1200</v>
      </c>
      <c r="K459" s="1" t="s">
        <v>469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 s="1" t="s">
        <v>149</v>
      </c>
      <c r="B460" s="1" t="s">
        <v>150</v>
      </c>
      <c r="C460" s="1" t="s">
        <v>244</v>
      </c>
      <c r="D460" s="1" t="s">
        <v>451</v>
      </c>
      <c r="E460">
        <v>0</v>
      </c>
      <c r="F460" s="10" t="str">
        <f>IF(final_data[[#This Row],[Total_applicants]]=0,"unknown","-")</f>
        <v>unknown</v>
      </c>
      <c r="G460" s="5">
        <v>80865</v>
      </c>
      <c r="H460" s="1" t="s">
        <v>43</v>
      </c>
      <c r="I460" s="1" t="s">
        <v>466</v>
      </c>
      <c r="J460">
        <v>1200</v>
      </c>
      <c r="K460" s="1" t="s">
        <v>469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 s="1" t="s">
        <v>149</v>
      </c>
      <c r="B461" s="1" t="s">
        <v>150</v>
      </c>
      <c r="C461" s="1" t="s">
        <v>167</v>
      </c>
      <c r="D461" s="1" t="s">
        <v>451</v>
      </c>
      <c r="E461">
        <v>22</v>
      </c>
      <c r="F461" s="10" t="str">
        <f>IF(final_data[[#This Row],[Total_applicants]]=0,"unknown","-")</f>
        <v>-</v>
      </c>
      <c r="G461" s="5">
        <v>80865</v>
      </c>
      <c r="H461" s="1" t="s">
        <v>43</v>
      </c>
      <c r="I461" s="1" t="s">
        <v>466</v>
      </c>
      <c r="J461">
        <v>1200</v>
      </c>
      <c r="K461" s="1" t="s">
        <v>469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 s="1" t="s">
        <v>149</v>
      </c>
      <c r="B462" s="1" t="s">
        <v>150</v>
      </c>
      <c r="C462" s="1" t="s">
        <v>245</v>
      </c>
      <c r="D462" s="1" t="s">
        <v>449</v>
      </c>
      <c r="E462">
        <v>2</v>
      </c>
      <c r="F462" s="10" t="str">
        <f>IF(final_data[[#This Row],[Total_applicants]]=0,"unknown","-")</f>
        <v>-</v>
      </c>
      <c r="G462" s="5">
        <v>80865</v>
      </c>
      <c r="H462" s="1" t="s">
        <v>158</v>
      </c>
      <c r="I462" s="1" t="s">
        <v>465</v>
      </c>
      <c r="J462">
        <v>1200</v>
      </c>
      <c r="K462" s="1" t="s">
        <v>469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  <c r="AG462">
        <v>0</v>
      </c>
      <c r="AH462">
        <v>1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1</v>
      </c>
    </row>
    <row r="463" spans="1:42" x14ac:dyDescent="0.25">
      <c r="A463" s="1" t="s">
        <v>149</v>
      </c>
      <c r="B463" s="1" t="s">
        <v>150</v>
      </c>
      <c r="C463" s="1" t="s">
        <v>212</v>
      </c>
      <c r="D463" s="1" t="s">
        <v>452</v>
      </c>
      <c r="E463">
        <v>2</v>
      </c>
      <c r="F463" s="10" t="str">
        <f>IF(final_data[[#This Row],[Total_applicants]]=0,"unknown","-")</f>
        <v>-</v>
      </c>
      <c r="G463" s="5">
        <v>80865</v>
      </c>
      <c r="H463" s="1" t="s">
        <v>43</v>
      </c>
      <c r="I463" s="1" t="s">
        <v>465</v>
      </c>
      <c r="J463">
        <v>1200</v>
      </c>
      <c r="K463" s="1" t="s">
        <v>469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 s="1" t="s">
        <v>149</v>
      </c>
      <c r="B464" s="1" t="s">
        <v>150</v>
      </c>
      <c r="C464" s="1" t="s">
        <v>230</v>
      </c>
      <c r="D464" s="1" t="s">
        <v>451</v>
      </c>
      <c r="E464">
        <v>39</v>
      </c>
      <c r="F464" s="10" t="str">
        <f>IF(final_data[[#This Row],[Total_applicants]]=0,"unknown","-")</f>
        <v>-</v>
      </c>
      <c r="G464" s="5">
        <v>80865</v>
      </c>
      <c r="H464" s="1" t="s">
        <v>43</v>
      </c>
      <c r="I464" s="1" t="s">
        <v>466</v>
      </c>
      <c r="J464">
        <v>1200</v>
      </c>
      <c r="K464" s="1" t="s">
        <v>469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 s="1" t="s">
        <v>149</v>
      </c>
      <c r="B465" s="1" t="s">
        <v>150</v>
      </c>
      <c r="C465" s="1" t="s">
        <v>246</v>
      </c>
      <c r="D465" s="1" t="s">
        <v>451</v>
      </c>
      <c r="E465">
        <v>1</v>
      </c>
      <c r="F465" s="10" t="str">
        <f>IF(final_data[[#This Row],[Total_applicants]]=0,"unknown","-")</f>
        <v>-</v>
      </c>
      <c r="G465" s="5">
        <v>80865</v>
      </c>
      <c r="H465" s="1" t="s">
        <v>43</v>
      </c>
      <c r="I465" s="1" t="s">
        <v>466</v>
      </c>
      <c r="J465">
        <v>1200</v>
      </c>
      <c r="K465" s="1" t="s">
        <v>469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 s="1" t="s">
        <v>149</v>
      </c>
      <c r="B466" s="1" t="s">
        <v>150</v>
      </c>
      <c r="C466" s="1" t="s">
        <v>212</v>
      </c>
      <c r="D466" s="1" t="s">
        <v>449</v>
      </c>
      <c r="E466">
        <v>0</v>
      </c>
      <c r="F466" s="10" t="str">
        <f>IF(final_data[[#This Row],[Total_applicants]]=0,"unknown","-")</f>
        <v>unknown</v>
      </c>
      <c r="G466" s="5">
        <v>80865</v>
      </c>
      <c r="H466" s="1" t="s">
        <v>43</v>
      </c>
      <c r="I466" s="1" t="s">
        <v>465</v>
      </c>
      <c r="J466">
        <v>1200</v>
      </c>
      <c r="K466" s="1" t="s">
        <v>469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</row>
    <row r="467" spans="1:42" x14ac:dyDescent="0.25">
      <c r="A467" s="1" t="s">
        <v>149</v>
      </c>
      <c r="B467" s="1" t="s">
        <v>150</v>
      </c>
      <c r="C467" s="1" t="s">
        <v>247</v>
      </c>
      <c r="D467" s="1" t="s">
        <v>452</v>
      </c>
      <c r="E467">
        <v>38</v>
      </c>
      <c r="F467" s="10" t="str">
        <f>IF(final_data[[#This Row],[Total_applicants]]=0,"unknown","-")</f>
        <v>-</v>
      </c>
      <c r="G467" s="5">
        <v>80865</v>
      </c>
      <c r="H467" s="1" t="s">
        <v>43</v>
      </c>
      <c r="I467" s="1" t="s">
        <v>466</v>
      </c>
      <c r="J467">
        <v>1200</v>
      </c>
      <c r="K467" s="1" t="s">
        <v>469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1</v>
      </c>
    </row>
    <row r="468" spans="1:42" x14ac:dyDescent="0.25">
      <c r="A468" s="1" t="s">
        <v>149</v>
      </c>
      <c r="B468" s="1" t="s">
        <v>150</v>
      </c>
      <c r="C468" s="1" t="s">
        <v>230</v>
      </c>
      <c r="D468" s="1" t="s">
        <v>449</v>
      </c>
      <c r="E468">
        <v>3</v>
      </c>
      <c r="F468" s="10" t="str">
        <f>IF(final_data[[#This Row],[Total_applicants]]=0,"unknown","-")</f>
        <v>-</v>
      </c>
      <c r="G468" s="5">
        <v>80865</v>
      </c>
      <c r="H468" s="1" t="s">
        <v>43</v>
      </c>
      <c r="I468" s="1" t="s">
        <v>466</v>
      </c>
      <c r="J468">
        <v>1200</v>
      </c>
      <c r="K468" s="1" t="s">
        <v>469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 s="1" t="s">
        <v>149</v>
      </c>
      <c r="B469" s="1" t="s">
        <v>150</v>
      </c>
      <c r="C469" s="1" t="s">
        <v>248</v>
      </c>
      <c r="D469" s="1" t="s">
        <v>461</v>
      </c>
      <c r="E469">
        <v>25</v>
      </c>
      <c r="F469" s="10" t="str">
        <f>IF(final_data[[#This Row],[Total_applicants]]=0,"unknown","-")</f>
        <v>-</v>
      </c>
      <c r="G469" s="5">
        <v>80865</v>
      </c>
      <c r="H469" s="1" t="s">
        <v>43</v>
      </c>
      <c r="I469" s="1" t="s">
        <v>465</v>
      </c>
      <c r="J469">
        <v>1200</v>
      </c>
      <c r="K469" s="1" t="s">
        <v>469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 s="1" t="s">
        <v>149</v>
      </c>
      <c r="B470" s="1" t="s">
        <v>150</v>
      </c>
      <c r="C470" s="1" t="s">
        <v>55</v>
      </c>
      <c r="D470" s="1" t="s">
        <v>451</v>
      </c>
      <c r="E470">
        <v>167</v>
      </c>
      <c r="F470" s="10" t="str">
        <f>IF(final_data[[#This Row],[Total_applicants]]=0,"unknown","-")</f>
        <v>-</v>
      </c>
      <c r="G470" s="5">
        <v>80865</v>
      </c>
      <c r="H470" s="1" t="s">
        <v>43</v>
      </c>
      <c r="I470" s="1" t="s">
        <v>466</v>
      </c>
      <c r="J470">
        <v>1200</v>
      </c>
      <c r="K470" s="1" t="s">
        <v>469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 s="1" t="s">
        <v>149</v>
      </c>
      <c r="B471" s="1" t="s">
        <v>150</v>
      </c>
      <c r="C471" s="1" t="s">
        <v>249</v>
      </c>
      <c r="D471" s="1" t="s">
        <v>449</v>
      </c>
      <c r="E471">
        <v>10</v>
      </c>
      <c r="F471" s="10" t="str">
        <f>IF(final_data[[#This Row],[Total_applicants]]=0,"unknown","-")</f>
        <v>-</v>
      </c>
      <c r="G471" s="5">
        <v>80865</v>
      </c>
      <c r="H471" s="1" t="s">
        <v>43</v>
      </c>
      <c r="I471" s="1" t="s">
        <v>466</v>
      </c>
      <c r="J471">
        <v>1200</v>
      </c>
      <c r="K471" s="1" t="s">
        <v>469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 s="1" t="s">
        <v>149</v>
      </c>
      <c r="B472" s="1" t="s">
        <v>150</v>
      </c>
      <c r="C472" s="1" t="s">
        <v>250</v>
      </c>
      <c r="D472" s="1" t="s">
        <v>451</v>
      </c>
      <c r="E472">
        <v>0</v>
      </c>
      <c r="F472" s="10" t="str">
        <f>IF(final_data[[#This Row],[Total_applicants]]=0,"unknown","-")</f>
        <v>unknown</v>
      </c>
      <c r="G472" s="5">
        <v>80865</v>
      </c>
      <c r="H472" s="1" t="s">
        <v>43</v>
      </c>
      <c r="I472" s="1" t="s">
        <v>466</v>
      </c>
      <c r="J472">
        <v>1200</v>
      </c>
      <c r="K472" s="1" t="s">
        <v>469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 s="1" t="s">
        <v>149</v>
      </c>
      <c r="B473" s="1" t="s">
        <v>150</v>
      </c>
      <c r="C473" s="1" t="s">
        <v>251</v>
      </c>
      <c r="D473" s="1" t="s">
        <v>460</v>
      </c>
      <c r="E473">
        <v>6</v>
      </c>
      <c r="F473" s="10" t="str">
        <f>IF(final_data[[#This Row],[Total_applicants]]=0,"unknown","-")</f>
        <v>-</v>
      </c>
      <c r="G473" s="5">
        <v>80865</v>
      </c>
      <c r="H473" s="1" t="s">
        <v>43</v>
      </c>
      <c r="I473" s="1" t="s">
        <v>466</v>
      </c>
      <c r="J473">
        <v>1200</v>
      </c>
      <c r="K473" s="1" t="s">
        <v>469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 s="1" t="s">
        <v>149</v>
      </c>
      <c r="B474" s="1" t="s">
        <v>150</v>
      </c>
      <c r="C474" s="1" t="s">
        <v>252</v>
      </c>
      <c r="D474" s="1" t="s">
        <v>449</v>
      </c>
      <c r="E474">
        <v>0</v>
      </c>
      <c r="F474" s="10" t="str">
        <f>IF(final_data[[#This Row],[Total_applicants]]=0,"unknown","-")</f>
        <v>unknown</v>
      </c>
      <c r="G474" s="5">
        <v>80865</v>
      </c>
      <c r="H474" s="1" t="s">
        <v>43</v>
      </c>
      <c r="I474" s="1" t="s">
        <v>466</v>
      </c>
      <c r="J474">
        <v>1200</v>
      </c>
      <c r="K474" s="1" t="s">
        <v>469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 s="1" t="s">
        <v>149</v>
      </c>
      <c r="B475" s="1" t="s">
        <v>150</v>
      </c>
      <c r="C475" s="1" t="s">
        <v>253</v>
      </c>
      <c r="D475" s="1" t="s">
        <v>451</v>
      </c>
      <c r="E475">
        <v>0</v>
      </c>
      <c r="F475" s="10" t="str">
        <f>IF(final_data[[#This Row],[Total_applicants]]=0,"unknown","-")</f>
        <v>unknown</v>
      </c>
      <c r="G475" s="5">
        <v>80865</v>
      </c>
      <c r="H475" s="1" t="s">
        <v>43</v>
      </c>
      <c r="I475" s="1" t="s">
        <v>466</v>
      </c>
      <c r="J475">
        <v>1200</v>
      </c>
      <c r="K475" s="1" t="s">
        <v>469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 s="1" t="s">
        <v>149</v>
      </c>
      <c r="B476" s="1" t="s">
        <v>150</v>
      </c>
      <c r="C476" s="1" t="s">
        <v>182</v>
      </c>
      <c r="D476" s="1" t="s">
        <v>454</v>
      </c>
      <c r="E476">
        <v>17</v>
      </c>
      <c r="F476" s="10" t="str">
        <f>IF(final_data[[#This Row],[Total_applicants]]=0,"unknown","-")</f>
        <v>-</v>
      </c>
      <c r="G476" s="5">
        <v>80865</v>
      </c>
      <c r="H476" s="1" t="s">
        <v>43</v>
      </c>
      <c r="I476" s="1" t="s">
        <v>465</v>
      </c>
      <c r="J476">
        <v>1200</v>
      </c>
      <c r="K476" s="1" t="s">
        <v>469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 s="1" t="s">
        <v>149</v>
      </c>
      <c r="B477" s="1" t="s">
        <v>150</v>
      </c>
      <c r="C477" s="1" t="s">
        <v>176</v>
      </c>
      <c r="D477" s="1" t="s">
        <v>453</v>
      </c>
      <c r="E477">
        <v>10</v>
      </c>
      <c r="F477" s="10" t="str">
        <f>IF(final_data[[#This Row],[Total_applicants]]=0,"unknown","-")</f>
        <v>-</v>
      </c>
      <c r="G477" s="5">
        <v>80865</v>
      </c>
      <c r="H477" s="1" t="s">
        <v>43</v>
      </c>
      <c r="I477" s="1" t="s">
        <v>465</v>
      </c>
      <c r="J477">
        <v>1200</v>
      </c>
      <c r="K477" s="1" t="s">
        <v>469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</row>
    <row r="478" spans="1:42" x14ac:dyDescent="0.25">
      <c r="A478" s="1" t="s">
        <v>149</v>
      </c>
      <c r="B478" s="1" t="s">
        <v>150</v>
      </c>
      <c r="C478" s="1" t="s">
        <v>209</v>
      </c>
      <c r="D478" s="1" t="s">
        <v>451</v>
      </c>
      <c r="E478">
        <v>6</v>
      </c>
      <c r="F478" s="10" t="str">
        <f>IF(final_data[[#This Row],[Total_applicants]]=0,"unknown","-")</f>
        <v>-</v>
      </c>
      <c r="G478" s="5">
        <v>80865</v>
      </c>
      <c r="H478" s="1" t="s">
        <v>158</v>
      </c>
      <c r="I478" s="1" t="s">
        <v>466</v>
      </c>
      <c r="J478">
        <v>1200</v>
      </c>
      <c r="K478" s="1" t="s">
        <v>469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1</v>
      </c>
    </row>
    <row r="479" spans="1:42" x14ac:dyDescent="0.25">
      <c r="A479" s="1" t="s">
        <v>149</v>
      </c>
      <c r="B479" s="1" t="s">
        <v>150</v>
      </c>
      <c r="C479" s="1" t="s">
        <v>197</v>
      </c>
      <c r="D479" s="1" t="s">
        <v>449</v>
      </c>
      <c r="E479">
        <v>4</v>
      </c>
      <c r="F479" s="10" t="str">
        <f>IF(final_data[[#This Row],[Total_applicants]]=0,"unknown","-")</f>
        <v>-</v>
      </c>
      <c r="G479" s="5">
        <v>80865</v>
      </c>
      <c r="H479" s="1" t="s">
        <v>43</v>
      </c>
      <c r="I479" s="1" t="s">
        <v>466</v>
      </c>
      <c r="J479">
        <v>1200</v>
      </c>
      <c r="K479" s="1" t="s">
        <v>469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 s="1" t="s">
        <v>149</v>
      </c>
      <c r="B480" s="1" t="s">
        <v>150</v>
      </c>
      <c r="C480" s="1" t="s">
        <v>167</v>
      </c>
      <c r="D480" s="1" t="s">
        <v>451</v>
      </c>
      <c r="E480">
        <v>8</v>
      </c>
      <c r="F480" s="10" t="str">
        <f>IF(final_data[[#This Row],[Total_applicants]]=0,"unknown","-")</f>
        <v>-</v>
      </c>
      <c r="G480" s="5">
        <v>80865</v>
      </c>
      <c r="H480" s="1" t="s">
        <v>43</v>
      </c>
      <c r="I480" s="1" t="s">
        <v>466</v>
      </c>
      <c r="J480">
        <v>1200</v>
      </c>
      <c r="K480" s="1" t="s">
        <v>469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 s="1" t="s">
        <v>149</v>
      </c>
      <c r="B481" s="1" t="s">
        <v>150</v>
      </c>
      <c r="C481" s="1" t="s">
        <v>254</v>
      </c>
      <c r="D481" s="1" t="s">
        <v>452</v>
      </c>
      <c r="E481">
        <v>7</v>
      </c>
      <c r="F481" s="10" t="str">
        <f>IF(final_data[[#This Row],[Total_applicants]]=0,"unknown","-")</f>
        <v>-</v>
      </c>
      <c r="G481" s="5">
        <v>80865</v>
      </c>
      <c r="H481" s="1" t="s">
        <v>43</v>
      </c>
      <c r="I481" s="1" t="s">
        <v>465</v>
      </c>
      <c r="J481">
        <v>1200</v>
      </c>
      <c r="K481" s="1" t="s">
        <v>469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 s="1" t="s">
        <v>149</v>
      </c>
      <c r="B482" s="1" t="s">
        <v>150</v>
      </c>
      <c r="C482" s="1" t="s">
        <v>255</v>
      </c>
      <c r="D482" s="1" t="s">
        <v>451</v>
      </c>
      <c r="E482">
        <v>6</v>
      </c>
      <c r="F482" s="10" t="str">
        <f>IF(final_data[[#This Row],[Total_applicants]]=0,"unknown","-")</f>
        <v>-</v>
      </c>
      <c r="G482" s="5">
        <v>80865</v>
      </c>
      <c r="H482" s="1" t="s">
        <v>43</v>
      </c>
      <c r="I482" s="1" t="s">
        <v>466</v>
      </c>
      <c r="J482">
        <v>1200</v>
      </c>
      <c r="K482" s="1" t="s">
        <v>469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 s="1" t="s">
        <v>149</v>
      </c>
      <c r="B483" s="1" t="s">
        <v>150</v>
      </c>
      <c r="C483" s="1" t="s">
        <v>225</v>
      </c>
      <c r="D483" s="1" t="s">
        <v>451</v>
      </c>
      <c r="E483">
        <v>0</v>
      </c>
      <c r="F483" s="10" t="str">
        <f>IF(final_data[[#This Row],[Total_applicants]]=0,"unknown","-")</f>
        <v>unknown</v>
      </c>
      <c r="G483" s="5">
        <v>80865</v>
      </c>
      <c r="H483" s="1" t="s">
        <v>43</v>
      </c>
      <c r="I483" s="1" t="s">
        <v>466</v>
      </c>
      <c r="J483">
        <v>1200</v>
      </c>
      <c r="K483" s="1" t="s">
        <v>469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</row>
    <row r="484" spans="1:42" x14ac:dyDescent="0.25">
      <c r="A484" s="1" t="s">
        <v>149</v>
      </c>
      <c r="B484" s="1" t="s">
        <v>150</v>
      </c>
      <c r="C484" s="1" t="s">
        <v>167</v>
      </c>
      <c r="D484" s="1" t="s">
        <v>455</v>
      </c>
      <c r="E484">
        <v>3</v>
      </c>
      <c r="F484" s="10" t="str">
        <f>IF(final_data[[#This Row],[Total_applicants]]=0,"unknown","-")</f>
        <v>-</v>
      </c>
      <c r="G484" s="5">
        <v>80865</v>
      </c>
      <c r="H484" s="1" t="s">
        <v>43</v>
      </c>
      <c r="I484" s="1" t="s">
        <v>466</v>
      </c>
      <c r="J484">
        <v>1200</v>
      </c>
      <c r="K484" s="1" t="s">
        <v>469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1</v>
      </c>
      <c r="AP484">
        <v>1</v>
      </c>
    </row>
    <row r="485" spans="1:42" x14ac:dyDescent="0.25">
      <c r="A485" s="1" t="s">
        <v>149</v>
      </c>
      <c r="B485" s="1" t="s">
        <v>150</v>
      </c>
      <c r="C485" s="1" t="s">
        <v>176</v>
      </c>
      <c r="D485" s="1" t="s">
        <v>460</v>
      </c>
      <c r="E485">
        <v>0</v>
      </c>
      <c r="F485" s="10" t="str">
        <f>IF(final_data[[#This Row],[Total_applicants]]=0,"unknown","-")</f>
        <v>unknown</v>
      </c>
      <c r="G485" s="5">
        <v>80865</v>
      </c>
      <c r="H485" s="1" t="s">
        <v>43</v>
      </c>
      <c r="I485" s="1" t="s">
        <v>465</v>
      </c>
      <c r="J485">
        <v>1200</v>
      </c>
      <c r="K485" s="1" t="s">
        <v>469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1</v>
      </c>
      <c r="AP485">
        <v>1</v>
      </c>
    </row>
    <row r="486" spans="1:42" x14ac:dyDescent="0.25">
      <c r="A486" s="1" t="s">
        <v>149</v>
      </c>
      <c r="B486" s="1" t="s">
        <v>150</v>
      </c>
      <c r="C486" s="1" t="s">
        <v>256</v>
      </c>
      <c r="D486" s="1" t="s">
        <v>451</v>
      </c>
      <c r="E486">
        <v>0</v>
      </c>
      <c r="F486" s="10" t="str">
        <f>IF(final_data[[#This Row],[Total_applicants]]=0,"unknown","-")</f>
        <v>unknown</v>
      </c>
      <c r="G486" s="5">
        <v>80865</v>
      </c>
      <c r="H486" s="1" t="s">
        <v>43</v>
      </c>
      <c r="I486" s="1" t="s">
        <v>466</v>
      </c>
      <c r="J486">
        <v>1200</v>
      </c>
      <c r="K486" s="1" t="s">
        <v>469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 s="1" t="s">
        <v>149</v>
      </c>
      <c r="B487" s="1" t="s">
        <v>150</v>
      </c>
      <c r="C487" s="1" t="s">
        <v>257</v>
      </c>
      <c r="D487" s="1" t="s">
        <v>452</v>
      </c>
      <c r="E487">
        <v>7</v>
      </c>
      <c r="F487" s="10" t="str">
        <f>IF(final_data[[#This Row],[Total_applicants]]=0,"unknown","-")</f>
        <v>-</v>
      </c>
      <c r="G487" s="5">
        <v>80865</v>
      </c>
      <c r="H487" s="1" t="s">
        <v>43</v>
      </c>
      <c r="I487" s="1" t="s">
        <v>465</v>
      </c>
      <c r="J487">
        <v>1200</v>
      </c>
      <c r="K487" s="1" t="s">
        <v>469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 s="1" t="s">
        <v>149</v>
      </c>
      <c r="B488" s="1" t="s">
        <v>150</v>
      </c>
      <c r="C488" s="1" t="s">
        <v>258</v>
      </c>
      <c r="D488" s="1" t="s">
        <v>454</v>
      </c>
      <c r="E488">
        <v>16</v>
      </c>
      <c r="F488" s="10" t="str">
        <f>IF(final_data[[#This Row],[Total_applicants]]=0,"unknown","-")</f>
        <v>-</v>
      </c>
      <c r="G488" s="5">
        <v>80865</v>
      </c>
      <c r="H488" s="1" t="s">
        <v>158</v>
      </c>
      <c r="I488" s="1" t="s">
        <v>465</v>
      </c>
      <c r="J488">
        <v>1200</v>
      </c>
      <c r="K488" s="1" t="s">
        <v>469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1</v>
      </c>
    </row>
    <row r="489" spans="1:42" x14ac:dyDescent="0.25">
      <c r="A489" s="1" t="s">
        <v>149</v>
      </c>
      <c r="B489" s="1" t="s">
        <v>150</v>
      </c>
      <c r="C489" s="1" t="s">
        <v>52</v>
      </c>
      <c r="D489" s="1" t="s">
        <v>451</v>
      </c>
      <c r="E489">
        <v>39</v>
      </c>
      <c r="F489" s="10" t="str">
        <f>IF(final_data[[#This Row],[Total_applicants]]=0,"unknown","-")</f>
        <v>-</v>
      </c>
      <c r="G489" s="5">
        <v>80865</v>
      </c>
      <c r="H489" s="1" t="s">
        <v>43</v>
      </c>
      <c r="I489" s="1" t="s">
        <v>466</v>
      </c>
      <c r="J489">
        <v>1200</v>
      </c>
      <c r="K489" s="1" t="s">
        <v>469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 s="1" t="s">
        <v>149</v>
      </c>
      <c r="B490" s="1" t="s">
        <v>150</v>
      </c>
      <c r="C490" s="1" t="s">
        <v>259</v>
      </c>
      <c r="D490" s="1" t="s">
        <v>451</v>
      </c>
      <c r="E490">
        <v>6</v>
      </c>
      <c r="F490" s="10" t="str">
        <f>IF(final_data[[#This Row],[Total_applicants]]=0,"unknown","-")</f>
        <v>-</v>
      </c>
      <c r="G490" s="5">
        <v>80865</v>
      </c>
      <c r="H490" s="1" t="s">
        <v>158</v>
      </c>
      <c r="I490" s="1" t="s">
        <v>466</v>
      </c>
      <c r="J490">
        <v>1200</v>
      </c>
      <c r="K490" s="1" t="s">
        <v>469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 s="1" t="s">
        <v>149</v>
      </c>
      <c r="B491" s="1" t="s">
        <v>150</v>
      </c>
      <c r="C491" s="1" t="s">
        <v>260</v>
      </c>
      <c r="D491" s="1" t="s">
        <v>452</v>
      </c>
      <c r="E491">
        <v>6</v>
      </c>
      <c r="F491" s="10" t="str">
        <f>IF(final_data[[#This Row],[Total_applicants]]=0,"unknown","-")</f>
        <v>-</v>
      </c>
      <c r="G491" s="5">
        <v>80865</v>
      </c>
      <c r="H491" s="1" t="s">
        <v>43</v>
      </c>
      <c r="I491" s="1" t="s">
        <v>465</v>
      </c>
      <c r="J491">
        <v>1200</v>
      </c>
      <c r="K491" s="1" t="s">
        <v>469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 s="1" t="s">
        <v>149</v>
      </c>
      <c r="B492" s="1" t="s">
        <v>150</v>
      </c>
      <c r="C492" s="1" t="s">
        <v>261</v>
      </c>
      <c r="D492" s="1" t="s">
        <v>455</v>
      </c>
      <c r="E492">
        <v>18</v>
      </c>
      <c r="F492" s="10" t="str">
        <f>IF(final_data[[#This Row],[Total_applicants]]=0,"unknown","-")</f>
        <v>-</v>
      </c>
      <c r="G492" s="5">
        <v>80865</v>
      </c>
      <c r="H492" s="1" t="s">
        <v>43</v>
      </c>
      <c r="I492" s="1" t="s">
        <v>466</v>
      </c>
      <c r="J492">
        <v>1200</v>
      </c>
      <c r="K492" s="1" t="s">
        <v>469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 s="1" t="s">
        <v>149</v>
      </c>
      <c r="B493" s="1" t="s">
        <v>150</v>
      </c>
      <c r="C493" s="1" t="s">
        <v>167</v>
      </c>
      <c r="D493" s="1" t="s">
        <v>451</v>
      </c>
      <c r="E493">
        <v>158</v>
      </c>
      <c r="F493" s="10" t="str">
        <f>IF(final_data[[#This Row],[Total_applicants]]=0,"unknown","-")</f>
        <v>-</v>
      </c>
      <c r="G493" s="5">
        <v>80865</v>
      </c>
      <c r="H493" s="1" t="s">
        <v>43</v>
      </c>
      <c r="I493" s="1" t="s">
        <v>466</v>
      </c>
      <c r="J493">
        <v>1200</v>
      </c>
      <c r="K493" s="1" t="s">
        <v>469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 s="1" t="s">
        <v>149</v>
      </c>
      <c r="B494" s="1" t="s">
        <v>150</v>
      </c>
      <c r="C494" s="1" t="s">
        <v>90</v>
      </c>
      <c r="D494" s="1" t="s">
        <v>449</v>
      </c>
      <c r="E494">
        <v>12</v>
      </c>
      <c r="F494" s="10" t="str">
        <f>IF(final_data[[#This Row],[Total_applicants]]=0,"unknown","-")</f>
        <v>-</v>
      </c>
      <c r="G494" s="5">
        <v>80865</v>
      </c>
      <c r="H494" s="1" t="s">
        <v>158</v>
      </c>
      <c r="I494" s="1" t="s">
        <v>465</v>
      </c>
      <c r="J494">
        <v>1200</v>
      </c>
      <c r="K494" s="1" t="s">
        <v>469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1</v>
      </c>
      <c r="AP494">
        <v>1</v>
      </c>
    </row>
    <row r="495" spans="1:42" x14ac:dyDescent="0.25">
      <c r="A495" s="1" t="s">
        <v>149</v>
      </c>
      <c r="B495" s="1" t="s">
        <v>150</v>
      </c>
      <c r="C495" s="1" t="s">
        <v>221</v>
      </c>
      <c r="D495" s="1" t="s">
        <v>452</v>
      </c>
      <c r="E495">
        <v>3</v>
      </c>
      <c r="F495" s="10" t="str">
        <f>IF(final_data[[#This Row],[Total_applicants]]=0,"unknown","-")</f>
        <v>-</v>
      </c>
      <c r="G495" s="5">
        <v>80865</v>
      </c>
      <c r="H495" s="1" t="s">
        <v>43</v>
      </c>
      <c r="I495" s="1" t="s">
        <v>466</v>
      </c>
      <c r="J495">
        <v>1200</v>
      </c>
      <c r="K495" s="1" t="s">
        <v>469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 s="1" t="s">
        <v>149</v>
      </c>
      <c r="B496" s="1" t="s">
        <v>150</v>
      </c>
      <c r="C496" s="1" t="s">
        <v>262</v>
      </c>
      <c r="D496" s="1" t="s">
        <v>450</v>
      </c>
      <c r="E496">
        <v>4</v>
      </c>
      <c r="F496" s="10" t="str">
        <f>IF(final_data[[#This Row],[Total_applicants]]=0,"unknown","-")</f>
        <v>-</v>
      </c>
      <c r="G496" s="5">
        <v>80865</v>
      </c>
      <c r="H496" s="1" t="s">
        <v>43</v>
      </c>
      <c r="I496" s="1" t="s">
        <v>466</v>
      </c>
      <c r="J496">
        <v>1200</v>
      </c>
      <c r="K496" s="1" t="s">
        <v>469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 s="1" t="s">
        <v>149</v>
      </c>
      <c r="B497" s="1" t="s">
        <v>150</v>
      </c>
      <c r="C497" s="1" t="s">
        <v>221</v>
      </c>
      <c r="D497" s="1" t="s">
        <v>451</v>
      </c>
      <c r="E497">
        <v>42</v>
      </c>
      <c r="F497" s="10" t="str">
        <f>IF(final_data[[#This Row],[Total_applicants]]=0,"unknown","-")</f>
        <v>-</v>
      </c>
      <c r="G497" s="5">
        <v>80865</v>
      </c>
      <c r="H497" s="1" t="s">
        <v>43</v>
      </c>
      <c r="I497" s="1" t="s">
        <v>466</v>
      </c>
      <c r="J497">
        <v>1200</v>
      </c>
      <c r="K497" s="1" t="s">
        <v>469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 s="1" t="s">
        <v>149</v>
      </c>
      <c r="B498" s="1" t="s">
        <v>150</v>
      </c>
      <c r="C498" s="1" t="s">
        <v>263</v>
      </c>
      <c r="D498" s="1" t="s">
        <v>452</v>
      </c>
      <c r="E498">
        <v>13</v>
      </c>
      <c r="F498" s="10" t="str">
        <f>IF(final_data[[#This Row],[Total_applicants]]=0,"unknown","-")</f>
        <v>-</v>
      </c>
      <c r="G498" s="5">
        <v>80865</v>
      </c>
      <c r="H498" s="1" t="s">
        <v>43</v>
      </c>
      <c r="I498" s="1" t="s">
        <v>465</v>
      </c>
      <c r="J498">
        <v>1200</v>
      </c>
      <c r="K498" s="1" t="s">
        <v>469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1</v>
      </c>
    </row>
    <row r="499" spans="1:42" x14ac:dyDescent="0.25">
      <c r="A499" s="1" t="s">
        <v>149</v>
      </c>
      <c r="B499" s="1" t="s">
        <v>150</v>
      </c>
      <c r="C499" s="1" t="s">
        <v>52</v>
      </c>
      <c r="D499" s="1" t="s">
        <v>455</v>
      </c>
      <c r="E499">
        <v>0</v>
      </c>
      <c r="F499" s="10" t="str">
        <f>IF(final_data[[#This Row],[Total_applicants]]=0,"unknown","-")</f>
        <v>unknown</v>
      </c>
      <c r="G499" s="5">
        <v>80865</v>
      </c>
      <c r="H499" s="1" t="s">
        <v>43</v>
      </c>
      <c r="I499" s="1" t="s">
        <v>466</v>
      </c>
      <c r="J499">
        <v>1200</v>
      </c>
      <c r="K499" s="1" t="s">
        <v>469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 s="1" t="s">
        <v>149</v>
      </c>
      <c r="B500" s="1" t="s">
        <v>150</v>
      </c>
      <c r="C500" s="1" t="s">
        <v>210</v>
      </c>
      <c r="D500" s="1" t="s">
        <v>451</v>
      </c>
      <c r="E500">
        <v>18</v>
      </c>
      <c r="F500" s="10" t="str">
        <f>IF(final_data[[#This Row],[Total_applicants]]=0,"unknown","-")</f>
        <v>-</v>
      </c>
      <c r="G500" s="5">
        <v>80865</v>
      </c>
      <c r="H500" s="1" t="s">
        <v>43</v>
      </c>
      <c r="I500" s="1" t="s">
        <v>466</v>
      </c>
      <c r="J500">
        <v>1200</v>
      </c>
      <c r="K500" s="1" t="s">
        <v>469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 s="1" t="s">
        <v>149</v>
      </c>
      <c r="B501" s="1" t="s">
        <v>150</v>
      </c>
      <c r="C501" s="1" t="s">
        <v>260</v>
      </c>
      <c r="D501" s="1" t="s">
        <v>452</v>
      </c>
      <c r="E501">
        <v>5</v>
      </c>
      <c r="F501" s="10" t="str">
        <f>IF(final_data[[#This Row],[Total_applicants]]=0,"unknown","-")</f>
        <v>-</v>
      </c>
      <c r="G501" s="5">
        <v>80865</v>
      </c>
      <c r="H501" s="1" t="s">
        <v>43</v>
      </c>
      <c r="I501" s="1" t="s">
        <v>465</v>
      </c>
      <c r="J501">
        <v>1200</v>
      </c>
      <c r="K501" s="1" t="s">
        <v>469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 s="1" t="s">
        <v>149</v>
      </c>
      <c r="B502" s="1" t="s">
        <v>150</v>
      </c>
      <c r="C502" s="1" t="s">
        <v>264</v>
      </c>
      <c r="D502" s="1" t="s">
        <v>449</v>
      </c>
      <c r="E502">
        <v>1</v>
      </c>
      <c r="F502" s="10" t="str">
        <f>IF(final_data[[#This Row],[Total_applicants]]=0,"unknown","-")</f>
        <v>-</v>
      </c>
      <c r="G502" s="5">
        <v>80865</v>
      </c>
      <c r="H502" s="1" t="s">
        <v>43</v>
      </c>
      <c r="I502" s="1" t="s">
        <v>466</v>
      </c>
      <c r="J502">
        <v>1200</v>
      </c>
      <c r="K502" s="1" t="s">
        <v>469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 s="1" t="s">
        <v>149</v>
      </c>
      <c r="B503" s="1" t="s">
        <v>150</v>
      </c>
      <c r="C503" s="1" t="s">
        <v>176</v>
      </c>
      <c r="D503" s="1" t="s">
        <v>455</v>
      </c>
      <c r="E503">
        <v>13</v>
      </c>
      <c r="F503" s="10" t="str">
        <f>IF(final_data[[#This Row],[Total_applicants]]=0,"unknown","-")</f>
        <v>-</v>
      </c>
      <c r="G503" s="5">
        <v>80865</v>
      </c>
      <c r="H503" s="1" t="s">
        <v>43</v>
      </c>
      <c r="I503" s="1" t="s">
        <v>465</v>
      </c>
      <c r="J503">
        <v>1200</v>
      </c>
      <c r="K503" s="1" t="s">
        <v>469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 s="1" t="s">
        <v>149</v>
      </c>
      <c r="B504" s="1" t="s">
        <v>150</v>
      </c>
      <c r="C504" s="1" t="s">
        <v>261</v>
      </c>
      <c r="D504" s="1" t="s">
        <v>452</v>
      </c>
      <c r="E504">
        <v>14</v>
      </c>
      <c r="F504" s="10" t="str">
        <f>IF(final_data[[#This Row],[Total_applicants]]=0,"unknown","-")</f>
        <v>-</v>
      </c>
      <c r="G504" s="5">
        <v>80865</v>
      </c>
      <c r="H504" s="1" t="s">
        <v>43</v>
      </c>
      <c r="I504" s="1" t="s">
        <v>466</v>
      </c>
      <c r="J504">
        <v>1200</v>
      </c>
      <c r="K504" s="1" t="s">
        <v>469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 s="1" t="s">
        <v>149</v>
      </c>
      <c r="B505" s="1" t="s">
        <v>150</v>
      </c>
      <c r="C505" s="1" t="s">
        <v>154</v>
      </c>
      <c r="D505" s="1" t="s">
        <v>454</v>
      </c>
      <c r="E505">
        <v>40</v>
      </c>
      <c r="F505" s="10" t="str">
        <f>IF(final_data[[#This Row],[Total_applicants]]=0,"unknown","-")</f>
        <v>-</v>
      </c>
      <c r="G505" s="5">
        <v>80865</v>
      </c>
      <c r="H505" s="1" t="s">
        <v>158</v>
      </c>
      <c r="I505" s="1" t="s">
        <v>465</v>
      </c>
      <c r="J505">
        <v>1200</v>
      </c>
      <c r="K505" s="1" t="s">
        <v>469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 s="1" t="s">
        <v>149</v>
      </c>
      <c r="B506" s="1" t="s">
        <v>150</v>
      </c>
      <c r="C506" s="1" t="s">
        <v>176</v>
      </c>
      <c r="D506" s="1" t="s">
        <v>451</v>
      </c>
      <c r="E506">
        <v>15</v>
      </c>
      <c r="F506" s="10" t="str">
        <f>IF(final_data[[#This Row],[Total_applicants]]=0,"unknown","-")</f>
        <v>-</v>
      </c>
      <c r="G506" s="5">
        <v>80865</v>
      </c>
      <c r="H506" s="1" t="s">
        <v>43</v>
      </c>
      <c r="I506" s="1" t="s">
        <v>465</v>
      </c>
      <c r="J506">
        <v>1200</v>
      </c>
      <c r="K506" s="1" t="s">
        <v>469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 s="1" t="s">
        <v>149</v>
      </c>
      <c r="B507" s="1" t="s">
        <v>150</v>
      </c>
      <c r="C507" s="1" t="s">
        <v>195</v>
      </c>
      <c r="D507" s="1" t="s">
        <v>455</v>
      </c>
      <c r="E507">
        <v>1</v>
      </c>
      <c r="F507" s="10" t="str">
        <f>IF(final_data[[#This Row],[Total_applicants]]=0,"unknown","-")</f>
        <v>-</v>
      </c>
      <c r="G507" s="5">
        <v>80865</v>
      </c>
      <c r="H507" s="1" t="s">
        <v>43</v>
      </c>
      <c r="I507" s="1" t="s">
        <v>466</v>
      </c>
      <c r="J507">
        <v>1200</v>
      </c>
      <c r="K507" s="1" t="s">
        <v>469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 s="1" t="s">
        <v>149</v>
      </c>
      <c r="B508" s="1" t="s">
        <v>150</v>
      </c>
      <c r="C508" s="1" t="s">
        <v>265</v>
      </c>
      <c r="D508" s="1" t="s">
        <v>451</v>
      </c>
      <c r="E508">
        <v>15</v>
      </c>
      <c r="F508" s="10" t="str">
        <f>IF(final_data[[#This Row],[Total_applicants]]=0,"unknown","-")</f>
        <v>-</v>
      </c>
      <c r="G508" s="5">
        <v>80865</v>
      </c>
      <c r="H508" s="1" t="s">
        <v>43</v>
      </c>
      <c r="I508" s="1" t="s">
        <v>466</v>
      </c>
      <c r="J508">
        <v>1200</v>
      </c>
      <c r="K508" s="1" t="s">
        <v>469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 s="1" t="s">
        <v>149</v>
      </c>
      <c r="B509" s="1" t="s">
        <v>150</v>
      </c>
      <c r="C509" s="1" t="s">
        <v>266</v>
      </c>
      <c r="D509" s="1" t="s">
        <v>449</v>
      </c>
      <c r="E509">
        <v>6</v>
      </c>
      <c r="F509" s="10" t="str">
        <f>IF(final_data[[#This Row],[Total_applicants]]=0,"unknown","-")</f>
        <v>-</v>
      </c>
      <c r="G509" s="5">
        <v>80865</v>
      </c>
      <c r="H509" s="1" t="s">
        <v>43</v>
      </c>
      <c r="I509" s="1" t="s">
        <v>465</v>
      </c>
      <c r="J509">
        <v>1200</v>
      </c>
      <c r="K509" s="1" t="s">
        <v>469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 s="1" t="s">
        <v>149</v>
      </c>
      <c r="B510" s="1" t="s">
        <v>150</v>
      </c>
      <c r="C510" s="1" t="s">
        <v>262</v>
      </c>
      <c r="D510" s="1" t="s">
        <v>452</v>
      </c>
      <c r="E510">
        <v>23</v>
      </c>
      <c r="F510" s="10" t="str">
        <f>IF(final_data[[#This Row],[Total_applicants]]=0,"unknown","-")</f>
        <v>-</v>
      </c>
      <c r="G510" s="5">
        <v>80865</v>
      </c>
      <c r="H510" s="1" t="s">
        <v>43</v>
      </c>
      <c r="I510" s="1" t="s">
        <v>466</v>
      </c>
      <c r="J510">
        <v>1200</v>
      </c>
      <c r="K510" s="1" t="s">
        <v>469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 s="1" t="s">
        <v>149</v>
      </c>
      <c r="B511" s="1" t="s">
        <v>150</v>
      </c>
      <c r="C511" s="1" t="s">
        <v>221</v>
      </c>
      <c r="D511" s="1" t="s">
        <v>451</v>
      </c>
      <c r="E511">
        <v>37</v>
      </c>
      <c r="F511" s="10" t="str">
        <f>IF(final_data[[#This Row],[Total_applicants]]=0,"unknown","-")</f>
        <v>-</v>
      </c>
      <c r="G511" s="5">
        <v>80865</v>
      </c>
      <c r="H511" s="1" t="s">
        <v>43</v>
      </c>
      <c r="I511" s="1" t="s">
        <v>466</v>
      </c>
      <c r="J511">
        <v>1200</v>
      </c>
      <c r="K511" s="1" t="s">
        <v>469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 s="1" t="s">
        <v>149</v>
      </c>
      <c r="B512" s="1" t="s">
        <v>150</v>
      </c>
      <c r="C512" s="1" t="s">
        <v>176</v>
      </c>
      <c r="D512" s="1" t="s">
        <v>451</v>
      </c>
      <c r="E512">
        <v>10</v>
      </c>
      <c r="F512" s="10" t="str">
        <f>IF(final_data[[#This Row],[Total_applicants]]=0,"unknown","-")</f>
        <v>-</v>
      </c>
      <c r="G512" s="5">
        <v>80865</v>
      </c>
      <c r="H512" s="1" t="s">
        <v>43</v>
      </c>
      <c r="I512" s="1" t="s">
        <v>465</v>
      </c>
      <c r="J512">
        <v>1200</v>
      </c>
      <c r="K512" s="1" t="s">
        <v>469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 s="1" t="s">
        <v>149</v>
      </c>
      <c r="B513" s="1" t="s">
        <v>150</v>
      </c>
      <c r="C513" s="1" t="s">
        <v>267</v>
      </c>
      <c r="D513" s="1" t="s">
        <v>452</v>
      </c>
      <c r="E513">
        <v>1</v>
      </c>
      <c r="F513" s="10" t="str">
        <f>IF(final_data[[#This Row],[Total_applicants]]=0,"unknown","-")</f>
        <v>-</v>
      </c>
      <c r="G513" s="5">
        <v>80865</v>
      </c>
      <c r="H513" s="1" t="s">
        <v>43</v>
      </c>
      <c r="I513" s="1" t="s">
        <v>466</v>
      </c>
      <c r="J513">
        <v>1200</v>
      </c>
      <c r="K513" s="1" t="s">
        <v>469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 s="1" t="s">
        <v>149</v>
      </c>
      <c r="B514" s="1" t="s">
        <v>150</v>
      </c>
      <c r="C514" s="1" t="s">
        <v>268</v>
      </c>
      <c r="D514" s="1" t="s">
        <v>451</v>
      </c>
      <c r="E514">
        <v>1</v>
      </c>
      <c r="F514" s="10" t="str">
        <f>IF(final_data[[#This Row],[Total_applicants]]=0,"unknown","-")</f>
        <v>-</v>
      </c>
      <c r="G514" s="5">
        <v>80865</v>
      </c>
      <c r="H514" s="1" t="s">
        <v>43</v>
      </c>
      <c r="I514" s="1" t="s">
        <v>465</v>
      </c>
      <c r="J514">
        <v>1200</v>
      </c>
      <c r="K514" s="1" t="s">
        <v>469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 s="1" t="s">
        <v>149</v>
      </c>
      <c r="B515" s="1" t="s">
        <v>150</v>
      </c>
      <c r="C515" s="1" t="s">
        <v>269</v>
      </c>
      <c r="D515" s="1" t="s">
        <v>451</v>
      </c>
      <c r="E515">
        <v>1</v>
      </c>
      <c r="F515" s="10" t="str">
        <f>IF(final_data[[#This Row],[Total_applicants]]=0,"unknown","-")</f>
        <v>-</v>
      </c>
      <c r="G515" s="5">
        <v>80865</v>
      </c>
      <c r="H515" s="1" t="s">
        <v>43</v>
      </c>
      <c r="I515" s="1" t="s">
        <v>466</v>
      </c>
      <c r="J515">
        <v>1200</v>
      </c>
      <c r="K515" s="1" t="s">
        <v>469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 s="1" t="s">
        <v>149</v>
      </c>
      <c r="B516" s="1" t="s">
        <v>150</v>
      </c>
      <c r="C516" s="1" t="s">
        <v>270</v>
      </c>
      <c r="D516" s="1" t="s">
        <v>451</v>
      </c>
      <c r="E516">
        <v>0</v>
      </c>
      <c r="F516" s="10" t="str">
        <f>IF(final_data[[#This Row],[Total_applicants]]=0,"unknown","-")</f>
        <v>unknown</v>
      </c>
      <c r="G516" s="5">
        <v>80865</v>
      </c>
      <c r="H516" s="1" t="s">
        <v>43</v>
      </c>
      <c r="I516" s="1" t="s">
        <v>465</v>
      </c>
      <c r="J516">
        <v>1200</v>
      </c>
      <c r="K516" s="1" t="s">
        <v>469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 s="1" t="s">
        <v>149</v>
      </c>
      <c r="B517" s="1" t="s">
        <v>150</v>
      </c>
      <c r="C517" s="1" t="s">
        <v>257</v>
      </c>
      <c r="D517" s="1" t="s">
        <v>451</v>
      </c>
      <c r="E517">
        <v>1</v>
      </c>
      <c r="F517" s="10" t="str">
        <f>IF(final_data[[#This Row],[Total_applicants]]=0,"unknown","-")</f>
        <v>-</v>
      </c>
      <c r="G517" s="5">
        <v>80865</v>
      </c>
      <c r="H517" s="1" t="s">
        <v>43</v>
      </c>
      <c r="I517" s="1" t="s">
        <v>465</v>
      </c>
      <c r="J517">
        <v>1200</v>
      </c>
      <c r="K517" s="1" t="s">
        <v>469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1</v>
      </c>
      <c r="AP517">
        <v>1</v>
      </c>
    </row>
    <row r="518" spans="1:42" x14ac:dyDescent="0.25">
      <c r="A518" s="1" t="s">
        <v>149</v>
      </c>
      <c r="B518" s="1" t="s">
        <v>150</v>
      </c>
      <c r="C518" s="1" t="s">
        <v>176</v>
      </c>
      <c r="D518" s="1" t="s">
        <v>451</v>
      </c>
      <c r="E518">
        <v>12</v>
      </c>
      <c r="F518" s="10" t="str">
        <f>IF(final_data[[#This Row],[Total_applicants]]=0,"unknown","-")</f>
        <v>-</v>
      </c>
      <c r="G518" s="5">
        <v>80865</v>
      </c>
      <c r="H518" s="1" t="s">
        <v>43</v>
      </c>
      <c r="I518" s="1" t="s">
        <v>465</v>
      </c>
      <c r="J518">
        <v>1200</v>
      </c>
      <c r="K518" s="1" t="s">
        <v>469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 s="1" t="s">
        <v>149</v>
      </c>
      <c r="B519" s="1" t="s">
        <v>150</v>
      </c>
      <c r="C519" s="1" t="s">
        <v>271</v>
      </c>
      <c r="D519" s="1" t="s">
        <v>451</v>
      </c>
      <c r="E519">
        <v>0</v>
      </c>
      <c r="F519" s="10" t="str">
        <f>IF(final_data[[#This Row],[Total_applicants]]=0,"unknown","-")</f>
        <v>unknown</v>
      </c>
      <c r="G519" s="5">
        <v>80865</v>
      </c>
      <c r="H519" s="1" t="s">
        <v>43</v>
      </c>
      <c r="I519" s="1" t="s">
        <v>465</v>
      </c>
      <c r="J519">
        <v>1200</v>
      </c>
      <c r="K519" s="1" t="s">
        <v>469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 s="1" t="s">
        <v>149</v>
      </c>
      <c r="B520" s="1" t="s">
        <v>150</v>
      </c>
      <c r="C520" s="1" t="s">
        <v>230</v>
      </c>
      <c r="D520" s="1" t="s">
        <v>451</v>
      </c>
      <c r="E520">
        <v>5</v>
      </c>
      <c r="F520" s="10" t="str">
        <f>IF(final_data[[#This Row],[Total_applicants]]=0,"unknown","-")</f>
        <v>-</v>
      </c>
      <c r="G520" s="5">
        <v>80865</v>
      </c>
      <c r="H520" s="1" t="s">
        <v>43</v>
      </c>
      <c r="I520" s="1" t="s">
        <v>466</v>
      </c>
      <c r="J520">
        <v>1200</v>
      </c>
      <c r="K520" s="1" t="s">
        <v>469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 s="1" t="s">
        <v>149</v>
      </c>
      <c r="B521" s="1" t="s">
        <v>150</v>
      </c>
      <c r="C521" s="1" t="s">
        <v>176</v>
      </c>
      <c r="D521" s="1" t="s">
        <v>449</v>
      </c>
      <c r="E521">
        <v>0</v>
      </c>
      <c r="F521" s="10" t="str">
        <f>IF(final_data[[#This Row],[Total_applicants]]=0,"unknown","-")</f>
        <v>unknown</v>
      </c>
      <c r="G521" s="5">
        <v>80865</v>
      </c>
      <c r="H521" s="1" t="s">
        <v>43</v>
      </c>
      <c r="I521" s="1" t="s">
        <v>465</v>
      </c>
      <c r="J521">
        <v>1200</v>
      </c>
      <c r="K521" s="1" t="s">
        <v>469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1</v>
      </c>
    </row>
    <row r="522" spans="1:42" x14ac:dyDescent="0.25">
      <c r="A522" s="1" t="s">
        <v>149</v>
      </c>
      <c r="B522" s="1" t="s">
        <v>150</v>
      </c>
      <c r="C522" s="1" t="s">
        <v>272</v>
      </c>
      <c r="D522" s="1" t="s">
        <v>455</v>
      </c>
      <c r="E522">
        <v>25</v>
      </c>
      <c r="F522" s="10" t="str">
        <f>IF(final_data[[#This Row],[Total_applicants]]=0,"unknown","-")</f>
        <v>-</v>
      </c>
      <c r="G522" s="5">
        <v>80865</v>
      </c>
      <c r="H522" s="1" t="s">
        <v>43</v>
      </c>
      <c r="I522" s="1" t="s">
        <v>466</v>
      </c>
      <c r="J522">
        <v>1200</v>
      </c>
      <c r="K522" s="1" t="s">
        <v>469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 s="1" t="s">
        <v>149</v>
      </c>
      <c r="B523" s="1" t="s">
        <v>150</v>
      </c>
      <c r="C523" s="1" t="s">
        <v>273</v>
      </c>
      <c r="D523" s="1" t="s">
        <v>452</v>
      </c>
      <c r="E523">
        <v>10</v>
      </c>
      <c r="F523" s="10" t="str">
        <f>IF(final_data[[#This Row],[Total_applicants]]=0,"unknown","-")</f>
        <v>-</v>
      </c>
      <c r="G523" s="5">
        <v>80865</v>
      </c>
      <c r="H523" s="1" t="s">
        <v>43</v>
      </c>
      <c r="I523" s="1" t="s">
        <v>465</v>
      </c>
      <c r="J523">
        <v>1200</v>
      </c>
      <c r="K523" s="1" t="s">
        <v>469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 s="1" t="s">
        <v>149</v>
      </c>
      <c r="B524" s="1" t="s">
        <v>150</v>
      </c>
      <c r="C524" s="1" t="s">
        <v>274</v>
      </c>
      <c r="D524" s="1" t="s">
        <v>451</v>
      </c>
      <c r="E524">
        <v>25</v>
      </c>
      <c r="F524" s="10" t="str">
        <f>IF(final_data[[#This Row],[Total_applicants]]=0,"unknown","-")</f>
        <v>-</v>
      </c>
      <c r="G524" s="5">
        <v>80865</v>
      </c>
      <c r="H524" s="1" t="s">
        <v>43</v>
      </c>
      <c r="I524" s="1" t="s">
        <v>465</v>
      </c>
      <c r="J524">
        <v>1200</v>
      </c>
      <c r="K524" s="1" t="s">
        <v>469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 s="1" t="s">
        <v>149</v>
      </c>
      <c r="B525" s="1" t="s">
        <v>150</v>
      </c>
      <c r="C525" s="1" t="s">
        <v>216</v>
      </c>
      <c r="D525" s="1" t="s">
        <v>451</v>
      </c>
      <c r="E525">
        <v>4</v>
      </c>
      <c r="F525" s="10" t="str">
        <f>IF(final_data[[#This Row],[Total_applicants]]=0,"unknown","-")</f>
        <v>-</v>
      </c>
      <c r="G525" s="5">
        <v>80865</v>
      </c>
      <c r="H525" s="1" t="s">
        <v>43</v>
      </c>
      <c r="I525" s="1" t="s">
        <v>466</v>
      </c>
      <c r="J525">
        <v>1200</v>
      </c>
      <c r="K525" s="1" t="s">
        <v>469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1</v>
      </c>
    </row>
    <row r="526" spans="1:42" x14ac:dyDescent="0.25">
      <c r="A526" s="1" t="s">
        <v>149</v>
      </c>
      <c r="B526" s="1" t="s">
        <v>150</v>
      </c>
      <c r="C526" s="1" t="s">
        <v>42</v>
      </c>
      <c r="D526" s="1" t="s">
        <v>451</v>
      </c>
      <c r="E526">
        <v>33</v>
      </c>
      <c r="F526" s="10" t="str">
        <f>IF(final_data[[#This Row],[Total_applicants]]=0,"unknown","-")</f>
        <v>-</v>
      </c>
      <c r="G526" s="5">
        <v>80865</v>
      </c>
      <c r="H526" s="1" t="s">
        <v>43</v>
      </c>
      <c r="I526" s="1" t="s">
        <v>465</v>
      </c>
      <c r="J526">
        <v>1200</v>
      </c>
      <c r="K526" s="1" t="s">
        <v>469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1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1</v>
      </c>
    </row>
    <row r="527" spans="1:42" x14ac:dyDescent="0.25">
      <c r="A527" s="1" t="s">
        <v>149</v>
      </c>
      <c r="B527" s="1" t="s">
        <v>150</v>
      </c>
      <c r="C527" s="1" t="s">
        <v>230</v>
      </c>
      <c r="D527" s="1" t="s">
        <v>451</v>
      </c>
      <c r="E527">
        <v>7</v>
      </c>
      <c r="F527" s="10" t="str">
        <f>IF(final_data[[#This Row],[Total_applicants]]=0,"unknown","-")</f>
        <v>-</v>
      </c>
      <c r="G527" s="5">
        <v>80865</v>
      </c>
      <c r="H527" s="1" t="s">
        <v>43</v>
      </c>
      <c r="I527" s="1" t="s">
        <v>466</v>
      </c>
      <c r="J527">
        <v>1200</v>
      </c>
      <c r="K527" s="1" t="s">
        <v>469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1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 s="1" t="s">
        <v>149</v>
      </c>
      <c r="B528" s="1" t="s">
        <v>150</v>
      </c>
      <c r="C528" s="1" t="s">
        <v>261</v>
      </c>
      <c r="D528" s="1" t="s">
        <v>455</v>
      </c>
      <c r="E528">
        <v>1</v>
      </c>
      <c r="F528" s="10" t="str">
        <f>IF(final_data[[#This Row],[Total_applicants]]=0,"unknown","-")</f>
        <v>-</v>
      </c>
      <c r="G528" s="5">
        <v>80865</v>
      </c>
      <c r="H528" s="1" t="s">
        <v>43</v>
      </c>
      <c r="I528" s="1" t="s">
        <v>466</v>
      </c>
      <c r="J528">
        <v>1200</v>
      </c>
      <c r="K528" s="1" t="s">
        <v>469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 s="1" t="s">
        <v>149</v>
      </c>
      <c r="B529" s="1" t="s">
        <v>150</v>
      </c>
      <c r="C529" s="1" t="s">
        <v>230</v>
      </c>
      <c r="D529" s="1" t="s">
        <v>451</v>
      </c>
      <c r="E529">
        <v>2</v>
      </c>
      <c r="F529" s="10" t="str">
        <f>IF(final_data[[#This Row],[Total_applicants]]=0,"unknown","-")</f>
        <v>-</v>
      </c>
      <c r="G529" s="5">
        <v>80865</v>
      </c>
      <c r="H529" s="1" t="s">
        <v>43</v>
      </c>
      <c r="I529" s="1" t="s">
        <v>466</v>
      </c>
      <c r="J529">
        <v>1200</v>
      </c>
      <c r="K529" s="1" t="s">
        <v>469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 s="1" t="s">
        <v>149</v>
      </c>
      <c r="B530" s="1" t="s">
        <v>150</v>
      </c>
      <c r="C530" s="1" t="s">
        <v>176</v>
      </c>
      <c r="D530" s="1" t="s">
        <v>451</v>
      </c>
      <c r="E530">
        <v>40</v>
      </c>
      <c r="F530" s="10" t="str">
        <f>IF(final_data[[#This Row],[Total_applicants]]=0,"unknown","-")</f>
        <v>-</v>
      </c>
      <c r="G530" s="5">
        <v>80865</v>
      </c>
      <c r="H530" s="1" t="s">
        <v>43</v>
      </c>
      <c r="I530" s="1" t="s">
        <v>465</v>
      </c>
      <c r="J530">
        <v>1200</v>
      </c>
      <c r="K530" s="1" t="s">
        <v>469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 s="1" t="s">
        <v>149</v>
      </c>
      <c r="B531" s="1" t="s">
        <v>150</v>
      </c>
      <c r="C531" s="1" t="s">
        <v>275</v>
      </c>
      <c r="D531" s="1" t="s">
        <v>451</v>
      </c>
      <c r="E531">
        <v>2</v>
      </c>
      <c r="F531" s="10" t="str">
        <f>IF(final_data[[#This Row],[Total_applicants]]=0,"unknown","-")</f>
        <v>-</v>
      </c>
      <c r="G531" s="5">
        <v>80865</v>
      </c>
      <c r="H531" s="1" t="s">
        <v>43</v>
      </c>
      <c r="I531" s="1" t="s">
        <v>465</v>
      </c>
      <c r="J531">
        <v>1200</v>
      </c>
      <c r="K531" s="1" t="s">
        <v>469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 s="1" t="s">
        <v>149</v>
      </c>
      <c r="B532" s="1" t="s">
        <v>150</v>
      </c>
      <c r="C532" s="1" t="s">
        <v>52</v>
      </c>
      <c r="D532" s="1" t="s">
        <v>451</v>
      </c>
      <c r="E532">
        <v>17</v>
      </c>
      <c r="F532" s="10" t="str">
        <f>IF(final_data[[#This Row],[Total_applicants]]=0,"unknown","-")</f>
        <v>-</v>
      </c>
      <c r="G532" s="5">
        <v>80865</v>
      </c>
      <c r="H532" s="1" t="s">
        <v>43</v>
      </c>
      <c r="I532" s="1" t="s">
        <v>466</v>
      </c>
      <c r="J532">
        <v>1200</v>
      </c>
      <c r="K532" s="1" t="s">
        <v>469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 s="1" t="s">
        <v>149</v>
      </c>
      <c r="B533" s="1" t="s">
        <v>150</v>
      </c>
      <c r="C533" s="1" t="s">
        <v>276</v>
      </c>
      <c r="D533" s="1" t="s">
        <v>451</v>
      </c>
      <c r="E533">
        <v>0</v>
      </c>
      <c r="F533" s="10" t="str">
        <f>IF(final_data[[#This Row],[Total_applicants]]=0,"unknown","-")</f>
        <v>unknown</v>
      </c>
      <c r="G533" s="5">
        <v>80865</v>
      </c>
      <c r="H533" s="1" t="s">
        <v>43</v>
      </c>
      <c r="I533" s="1" t="s">
        <v>466</v>
      </c>
      <c r="J533">
        <v>1200</v>
      </c>
      <c r="K533" s="1" t="s">
        <v>469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 s="1" t="s">
        <v>149</v>
      </c>
      <c r="B534" s="1" t="s">
        <v>150</v>
      </c>
      <c r="C534" s="1" t="s">
        <v>260</v>
      </c>
      <c r="D534" s="1" t="s">
        <v>452</v>
      </c>
      <c r="E534">
        <v>4</v>
      </c>
      <c r="F534" s="10" t="str">
        <f>IF(final_data[[#This Row],[Total_applicants]]=0,"unknown","-")</f>
        <v>-</v>
      </c>
      <c r="G534" s="5">
        <v>80865</v>
      </c>
      <c r="H534" s="1" t="s">
        <v>43</v>
      </c>
      <c r="I534" s="1" t="s">
        <v>465</v>
      </c>
      <c r="J534">
        <v>1200</v>
      </c>
      <c r="K534" s="1" t="s">
        <v>469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 s="1" t="s">
        <v>149</v>
      </c>
      <c r="B535" s="1" t="s">
        <v>150</v>
      </c>
      <c r="C535" s="1" t="s">
        <v>277</v>
      </c>
      <c r="D535" s="1" t="s">
        <v>451</v>
      </c>
      <c r="E535">
        <v>3</v>
      </c>
      <c r="F535" s="10" t="str">
        <f>IF(final_data[[#This Row],[Total_applicants]]=0,"unknown","-")</f>
        <v>-</v>
      </c>
      <c r="G535" s="5">
        <v>80865</v>
      </c>
      <c r="H535" s="1" t="s">
        <v>43</v>
      </c>
      <c r="I535" s="1" t="s">
        <v>466</v>
      </c>
      <c r="J535">
        <v>1200</v>
      </c>
      <c r="K535" s="1" t="s">
        <v>469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 s="1" t="s">
        <v>149</v>
      </c>
      <c r="B536" s="1" t="s">
        <v>150</v>
      </c>
      <c r="C536" s="1" t="s">
        <v>278</v>
      </c>
      <c r="D536" s="1" t="s">
        <v>452</v>
      </c>
      <c r="E536">
        <v>10</v>
      </c>
      <c r="F536" s="10" t="str">
        <f>IF(final_data[[#This Row],[Total_applicants]]=0,"unknown","-")</f>
        <v>-</v>
      </c>
      <c r="G536" s="5">
        <v>80865</v>
      </c>
      <c r="H536" s="1" t="s">
        <v>158</v>
      </c>
      <c r="I536" s="1" t="s">
        <v>465</v>
      </c>
      <c r="J536">
        <v>1200</v>
      </c>
      <c r="K536" s="1" t="s">
        <v>469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 s="1" t="s">
        <v>149</v>
      </c>
      <c r="B537" s="1" t="s">
        <v>150</v>
      </c>
      <c r="C537" s="1" t="s">
        <v>157</v>
      </c>
      <c r="D537" s="1" t="s">
        <v>454</v>
      </c>
      <c r="E537">
        <v>15</v>
      </c>
      <c r="F537" s="10" t="str">
        <f>IF(final_data[[#This Row],[Total_applicants]]=0,"unknown","-")</f>
        <v>-</v>
      </c>
      <c r="G537" s="5">
        <v>80865</v>
      </c>
      <c r="H537" s="1" t="s">
        <v>158</v>
      </c>
      <c r="I537" s="1" t="s">
        <v>465</v>
      </c>
      <c r="J537">
        <v>1200</v>
      </c>
      <c r="K537" s="1" t="s">
        <v>469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 s="1" t="s">
        <v>149</v>
      </c>
      <c r="B538" s="1" t="s">
        <v>150</v>
      </c>
      <c r="C538" s="1" t="s">
        <v>279</v>
      </c>
      <c r="D538" s="1" t="s">
        <v>449</v>
      </c>
      <c r="E538">
        <v>11</v>
      </c>
      <c r="F538" s="10" t="str">
        <f>IF(final_data[[#This Row],[Total_applicants]]=0,"unknown","-")</f>
        <v>-</v>
      </c>
      <c r="G538" s="5">
        <v>80865</v>
      </c>
      <c r="H538" s="1" t="s">
        <v>43</v>
      </c>
      <c r="I538" s="1" t="s">
        <v>465</v>
      </c>
      <c r="J538">
        <v>1200</v>
      </c>
      <c r="K538" s="1" t="s">
        <v>469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1</v>
      </c>
      <c r="AG538">
        <v>0</v>
      </c>
      <c r="AH538">
        <v>1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1</v>
      </c>
    </row>
    <row r="539" spans="1:42" x14ac:dyDescent="0.25">
      <c r="A539" s="1" t="s">
        <v>149</v>
      </c>
      <c r="B539" s="1" t="s">
        <v>150</v>
      </c>
      <c r="C539" s="1" t="s">
        <v>280</v>
      </c>
      <c r="D539" s="1" t="s">
        <v>451</v>
      </c>
      <c r="E539">
        <v>6</v>
      </c>
      <c r="F539" s="10" t="str">
        <f>IF(final_data[[#This Row],[Total_applicants]]=0,"unknown","-")</f>
        <v>-</v>
      </c>
      <c r="G539" s="5">
        <v>80865</v>
      </c>
      <c r="H539" s="1" t="s">
        <v>43</v>
      </c>
      <c r="I539" s="1" t="s">
        <v>466</v>
      </c>
      <c r="J539">
        <v>1200</v>
      </c>
      <c r="K539" s="1" t="s">
        <v>469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 s="1" t="s">
        <v>149</v>
      </c>
      <c r="B540" s="1" t="s">
        <v>150</v>
      </c>
      <c r="C540" s="1" t="s">
        <v>281</v>
      </c>
      <c r="D540" s="1" t="s">
        <v>451</v>
      </c>
      <c r="E540">
        <v>2</v>
      </c>
      <c r="F540" s="10" t="str">
        <f>IF(final_data[[#This Row],[Total_applicants]]=0,"unknown","-")</f>
        <v>-</v>
      </c>
      <c r="G540" s="5">
        <v>80865</v>
      </c>
      <c r="H540" s="1" t="s">
        <v>43</v>
      </c>
      <c r="I540" s="1" t="s">
        <v>466</v>
      </c>
      <c r="J540">
        <v>1200</v>
      </c>
      <c r="K540" s="1" t="s">
        <v>469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1</v>
      </c>
    </row>
    <row r="541" spans="1:42" x14ac:dyDescent="0.25">
      <c r="A541" s="1" t="s">
        <v>149</v>
      </c>
      <c r="B541" s="1" t="s">
        <v>150</v>
      </c>
      <c r="C541" s="1" t="s">
        <v>163</v>
      </c>
      <c r="D541" s="1" t="s">
        <v>455</v>
      </c>
      <c r="E541">
        <v>41</v>
      </c>
      <c r="F541" s="10" t="str">
        <f>IF(final_data[[#This Row],[Total_applicants]]=0,"unknown","-")</f>
        <v>-</v>
      </c>
      <c r="G541" s="5">
        <v>80865</v>
      </c>
      <c r="H541" s="1" t="s">
        <v>43</v>
      </c>
      <c r="I541" s="1" t="s">
        <v>466</v>
      </c>
      <c r="J541">
        <v>1200</v>
      </c>
      <c r="K541" s="1" t="s">
        <v>469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1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 s="1" t="s">
        <v>149</v>
      </c>
      <c r="B542" s="1" t="s">
        <v>150</v>
      </c>
      <c r="C542" s="1" t="s">
        <v>167</v>
      </c>
      <c r="D542" s="1" t="s">
        <v>454</v>
      </c>
      <c r="E542">
        <v>19</v>
      </c>
      <c r="F542" s="10" t="str">
        <f>IF(final_data[[#This Row],[Total_applicants]]=0,"unknown","-")</f>
        <v>-</v>
      </c>
      <c r="G542" s="5">
        <v>80865</v>
      </c>
      <c r="H542" s="1" t="s">
        <v>43</v>
      </c>
      <c r="I542" s="1" t="s">
        <v>466</v>
      </c>
      <c r="J542">
        <v>1200</v>
      </c>
      <c r="K542" s="1" t="s">
        <v>469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 s="1" t="s">
        <v>149</v>
      </c>
      <c r="B543" s="1" t="s">
        <v>150</v>
      </c>
      <c r="C543" s="1" t="s">
        <v>49</v>
      </c>
      <c r="D543" s="1" t="s">
        <v>451</v>
      </c>
      <c r="E543">
        <v>66</v>
      </c>
      <c r="F543" s="10" t="str">
        <f>IF(final_data[[#This Row],[Total_applicants]]=0,"unknown","-")</f>
        <v>-</v>
      </c>
      <c r="G543" s="5">
        <v>80865</v>
      </c>
      <c r="H543" s="1" t="s">
        <v>43</v>
      </c>
      <c r="I543" s="1" t="s">
        <v>466</v>
      </c>
      <c r="J543">
        <v>1200</v>
      </c>
      <c r="K543" s="1" t="s">
        <v>469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 s="1" t="s">
        <v>149</v>
      </c>
      <c r="B544" s="1" t="s">
        <v>150</v>
      </c>
      <c r="C544" s="1" t="s">
        <v>167</v>
      </c>
      <c r="D544" s="1" t="s">
        <v>451</v>
      </c>
      <c r="E544">
        <v>88</v>
      </c>
      <c r="F544" s="10" t="str">
        <f>IF(final_data[[#This Row],[Total_applicants]]=0,"unknown","-")</f>
        <v>-</v>
      </c>
      <c r="G544" s="5">
        <v>80865</v>
      </c>
      <c r="H544" s="1" t="s">
        <v>43</v>
      </c>
      <c r="I544" s="1" t="s">
        <v>466</v>
      </c>
      <c r="J544">
        <v>1200</v>
      </c>
      <c r="K544" s="1" t="s">
        <v>469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 s="1" t="s">
        <v>149</v>
      </c>
      <c r="B545" s="1" t="s">
        <v>150</v>
      </c>
      <c r="C545" s="1" t="s">
        <v>282</v>
      </c>
      <c r="D545" s="1" t="s">
        <v>449</v>
      </c>
      <c r="E545">
        <v>0</v>
      </c>
      <c r="F545" s="10" t="str">
        <f>IF(final_data[[#This Row],[Total_applicants]]=0,"unknown","-")</f>
        <v>unknown</v>
      </c>
      <c r="G545" s="5">
        <v>80865</v>
      </c>
      <c r="H545" s="1" t="s">
        <v>43</v>
      </c>
      <c r="I545" s="1" t="s">
        <v>465</v>
      </c>
      <c r="J545">
        <v>1200</v>
      </c>
      <c r="K545" s="1" t="s">
        <v>469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 s="1" t="s">
        <v>149</v>
      </c>
      <c r="B546" s="1" t="s">
        <v>150</v>
      </c>
      <c r="C546" s="1" t="s">
        <v>189</v>
      </c>
      <c r="D546" s="1" t="s">
        <v>454</v>
      </c>
      <c r="E546">
        <v>29</v>
      </c>
      <c r="F546" s="10" t="str">
        <f>IF(final_data[[#This Row],[Total_applicants]]=0,"unknown","-")</f>
        <v>-</v>
      </c>
      <c r="G546" s="5">
        <v>80865</v>
      </c>
      <c r="H546" s="1" t="s">
        <v>43</v>
      </c>
      <c r="I546" s="1" t="s">
        <v>466</v>
      </c>
      <c r="J546">
        <v>1200</v>
      </c>
      <c r="K546" s="1" t="s">
        <v>469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 s="1" t="s">
        <v>149</v>
      </c>
      <c r="B547" s="1" t="s">
        <v>150</v>
      </c>
      <c r="C547" s="1" t="s">
        <v>283</v>
      </c>
      <c r="D547" s="1" t="s">
        <v>462</v>
      </c>
      <c r="E547">
        <v>17</v>
      </c>
      <c r="F547" s="10" t="str">
        <f>IF(final_data[[#This Row],[Total_applicants]]=0,"unknown","-")</f>
        <v>-</v>
      </c>
      <c r="G547" s="5">
        <v>80865</v>
      </c>
      <c r="H547" s="1" t="s">
        <v>158</v>
      </c>
      <c r="I547" s="1" t="s">
        <v>466</v>
      </c>
      <c r="J547">
        <v>1200</v>
      </c>
      <c r="K547" s="1" t="s">
        <v>469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 s="1" t="s">
        <v>149</v>
      </c>
      <c r="B548" s="1" t="s">
        <v>150</v>
      </c>
      <c r="C548" s="1" t="s">
        <v>152</v>
      </c>
      <c r="D548" s="1" t="s">
        <v>451</v>
      </c>
      <c r="E548">
        <v>63</v>
      </c>
      <c r="F548" s="10" t="str">
        <f>IF(final_data[[#This Row],[Total_applicants]]=0,"unknown","-")</f>
        <v>-</v>
      </c>
      <c r="G548" s="5">
        <v>80865</v>
      </c>
      <c r="H548" s="1" t="s">
        <v>43</v>
      </c>
      <c r="I548" s="1" t="s">
        <v>465</v>
      </c>
      <c r="J548">
        <v>1200</v>
      </c>
      <c r="K548" s="1" t="s">
        <v>469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1</v>
      </c>
      <c r="AJ548">
        <v>0</v>
      </c>
      <c r="AK548">
        <v>0</v>
      </c>
      <c r="AL548">
        <v>1</v>
      </c>
      <c r="AM548">
        <v>0</v>
      </c>
      <c r="AN548">
        <v>1</v>
      </c>
      <c r="AO548">
        <v>0</v>
      </c>
      <c r="AP548">
        <v>0</v>
      </c>
    </row>
    <row r="549" spans="1:42" x14ac:dyDescent="0.25">
      <c r="A549" s="1" t="s">
        <v>149</v>
      </c>
      <c r="B549" s="1" t="s">
        <v>150</v>
      </c>
      <c r="C549" s="1" t="s">
        <v>172</v>
      </c>
      <c r="D549" s="1" t="s">
        <v>452</v>
      </c>
      <c r="E549">
        <v>76</v>
      </c>
      <c r="F549" s="10" t="str">
        <f>IF(final_data[[#This Row],[Total_applicants]]=0,"unknown","-")</f>
        <v>-</v>
      </c>
      <c r="G549" s="5">
        <v>80865</v>
      </c>
      <c r="H549" s="1" t="s">
        <v>43</v>
      </c>
      <c r="I549" s="1" t="s">
        <v>465</v>
      </c>
      <c r="J549">
        <v>1200</v>
      </c>
      <c r="K549" s="1" t="s">
        <v>469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 s="1" t="s">
        <v>149</v>
      </c>
      <c r="B550" s="1" t="s">
        <v>150</v>
      </c>
      <c r="C550" s="1" t="s">
        <v>203</v>
      </c>
      <c r="D550" s="1" t="s">
        <v>454</v>
      </c>
      <c r="E550">
        <v>52</v>
      </c>
      <c r="F550" s="10" t="str">
        <f>IF(final_data[[#This Row],[Total_applicants]]=0,"unknown","-")</f>
        <v>-</v>
      </c>
      <c r="G550" s="5">
        <v>80865</v>
      </c>
      <c r="H550" s="1" t="s">
        <v>43</v>
      </c>
      <c r="I550" s="1" t="s">
        <v>465</v>
      </c>
      <c r="J550">
        <v>1200</v>
      </c>
      <c r="K550" s="1" t="s">
        <v>469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 s="1" t="s">
        <v>149</v>
      </c>
      <c r="B551" s="1" t="s">
        <v>150</v>
      </c>
      <c r="C551" s="1" t="s">
        <v>284</v>
      </c>
      <c r="D551" s="1" t="s">
        <v>451</v>
      </c>
      <c r="E551">
        <v>2</v>
      </c>
      <c r="F551" s="10" t="str">
        <f>IF(final_data[[#This Row],[Total_applicants]]=0,"unknown","-")</f>
        <v>-</v>
      </c>
      <c r="G551" s="5">
        <v>80865</v>
      </c>
      <c r="H551" s="1" t="s">
        <v>43</v>
      </c>
      <c r="I551" s="1" t="s">
        <v>465</v>
      </c>
      <c r="J551">
        <v>1200</v>
      </c>
      <c r="K551" s="1" t="s">
        <v>469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 s="1" t="s">
        <v>149</v>
      </c>
      <c r="B552" s="1" t="s">
        <v>150</v>
      </c>
      <c r="C552" s="1" t="s">
        <v>285</v>
      </c>
      <c r="D552" s="1" t="s">
        <v>451</v>
      </c>
      <c r="E552">
        <v>3</v>
      </c>
      <c r="F552" s="10" t="str">
        <f>IF(final_data[[#This Row],[Total_applicants]]=0,"unknown","-")</f>
        <v>-</v>
      </c>
      <c r="G552" s="5">
        <v>80865</v>
      </c>
      <c r="H552" s="1" t="s">
        <v>43</v>
      </c>
      <c r="I552" s="1" t="s">
        <v>465</v>
      </c>
      <c r="J552">
        <v>1200</v>
      </c>
      <c r="K552" s="1" t="s">
        <v>469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 s="1" t="s">
        <v>149</v>
      </c>
      <c r="B553" s="1" t="s">
        <v>150</v>
      </c>
      <c r="C553" s="1" t="s">
        <v>286</v>
      </c>
      <c r="D553" s="1" t="s">
        <v>451</v>
      </c>
      <c r="E553">
        <v>11</v>
      </c>
      <c r="F553" s="10" t="str">
        <f>IF(final_data[[#This Row],[Total_applicants]]=0,"unknown","-")</f>
        <v>-</v>
      </c>
      <c r="G553" s="5">
        <v>80865</v>
      </c>
      <c r="H553" s="1" t="s">
        <v>43</v>
      </c>
      <c r="I553" s="1" t="s">
        <v>466</v>
      </c>
      <c r="J553">
        <v>1200</v>
      </c>
      <c r="K553" s="1" t="s">
        <v>469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 s="1" t="s">
        <v>149</v>
      </c>
      <c r="B554" s="1" t="s">
        <v>150</v>
      </c>
      <c r="C554" s="1" t="s">
        <v>49</v>
      </c>
      <c r="D554" s="1" t="s">
        <v>452</v>
      </c>
      <c r="E554">
        <v>59</v>
      </c>
      <c r="F554" s="10" t="str">
        <f>IF(final_data[[#This Row],[Total_applicants]]=0,"unknown","-")</f>
        <v>-</v>
      </c>
      <c r="G554" s="5">
        <v>80865</v>
      </c>
      <c r="H554" s="1" t="s">
        <v>43</v>
      </c>
      <c r="I554" s="1" t="s">
        <v>466</v>
      </c>
      <c r="J554">
        <v>1200</v>
      </c>
      <c r="K554" s="1" t="s">
        <v>469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 s="1" t="s">
        <v>149</v>
      </c>
      <c r="B555" s="1" t="s">
        <v>150</v>
      </c>
      <c r="C555" s="1" t="s">
        <v>52</v>
      </c>
      <c r="D555" s="1" t="s">
        <v>451</v>
      </c>
      <c r="E555">
        <v>11</v>
      </c>
      <c r="F555" s="10" t="str">
        <f>IF(final_data[[#This Row],[Total_applicants]]=0,"unknown","-")</f>
        <v>-</v>
      </c>
      <c r="G555" s="5">
        <v>80865</v>
      </c>
      <c r="H555" s="1" t="s">
        <v>43</v>
      </c>
      <c r="I555" s="1" t="s">
        <v>466</v>
      </c>
      <c r="J555">
        <v>1200</v>
      </c>
      <c r="K555" s="1" t="s">
        <v>469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 s="1" t="s">
        <v>287</v>
      </c>
      <c r="B556" s="1" t="s">
        <v>288</v>
      </c>
      <c r="C556" s="1" t="s">
        <v>289</v>
      </c>
      <c r="D556" s="1" t="s">
        <v>449</v>
      </c>
      <c r="E556">
        <v>39</v>
      </c>
      <c r="F556" s="10" t="str">
        <f>IF(final_data[[#This Row],[Total_applicants]]=0,"unknown","-")</f>
        <v>-</v>
      </c>
      <c r="G556" s="5">
        <v>531551</v>
      </c>
      <c r="H556" s="1" t="s">
        <v>43</v>
      </c>
      <c r="I556" s="1" t="s">
        <v>465</v>
      </c>
      <c r="J556">
        <v>5000</v>
      </c>
      <c r="K556" s="1" t="s">
        <v>470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 s="1" t="s">
        <v>287</v>
      </c>
      <c r="B557" s="1" t="s">
        <v>288</v>
      </c>
      <c r="C557" s="1" t="s">
        <v>290</v>
      </c>
      <c r="D557" s="1" t="s">
        <v>449</v>
      </c>
      <c r="E557">
        <v>33</v>
      </c>
      <c r="F557" s="10" t="str">
        <f>IF(final_data[[#This Row],[Total_applicants]]=0,"unknown","-")</f>
        <v>-</v>
      </c>
      <c r="G557" s="5">
        <v>531551</v>
      </c>
      <c r="H557" s="1" t="s">
        <v>43</v>
      </c>
      <c r="I557" s="1" t="s">
        <v>465</v>
      </c>
      <c r="J557">
        <v>5000</v>
      </c>
      <c r="K557" s="1" t="s">
        <v>470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 s="1" t="s">
        <v>291</v>
      </c>
      <c r="B558" s="1" t="s">
        <v>150</v>
      </c>
      <c r="C558" s="1" t="s">
        <v>292</v>
      </c>
      <c r="D558" s="1" t="s">
        <v>463</v>
      </c>
      <c r="E558">
        <v>57</v>
      </c>
      <c r="F558" s="10" t="str">
        <f>IF(final_data[[#This Row],[Total_applicants]]=0,"unknown","-")</f>
        <v>-</v>
      </c>
      <c r="G558" s="5">
        <v>11245</v>
      </c>
      <c r="H558" s="1" t="s">
        <v>43</v>
      </c>
      <c r="I558" s="1" t="s">
        <v>466</v>
      </c>
      <c r="J558">
        <v>110</v>
      </c>
      <c r="K558" s="1" t="s">
        <v>471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 s="1" t="s">
        <v>291</v>
      </c>
      <c r="B559" s="1" t="s">
        <v>150</v>
      </c>
      <c r="C559" s="1" t="s">
        <v>292</v>
      </c>
      <c r="D559" s="1" t="s">
        <v>449</v>
      </c>
      <c r="E559">
        <v>53</v>
      </c>
      <c r="F559" s="10" t="str">
        <f>IF(final_data[[#This Row],[Total_applicants]]=0,"unknown","-")</f>
        <v>-</v>
      </c>
      <c r="G559" s="5">
        <v>11245</v>
      </c>
      <c r="H559" s="1" t="s">
        <v>43</v>
      </c>
      <c r="I559" s="1" t="s">
        <v>466</v>
      </c>
      <c r="J559">
        <v>110</v>
      </c>
      <c r="K559" s="1" t="s">
        <v>471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 s="1" t="s">
        <v>291</v>
      </c>
      <c r="B560" s="1" t="s">
        <v>150</v>
      </c>
      <c r="C560" s="1" t="s">
        <v>293</v>
      </c>
      <c r="D560" s="1" t="s">
        <v>463</v>
      </c>
      <c r="E560">
        <v>39</v>
      </c>
      <c r="F560" s="10" t="str">
        <f>IF(final_data[[#This Row],[Total_applicants]]=0,"unknown","-")</f>
        <v>-</v>
      </c>
      <c r="G560" s="5">
        <v>11245</v>
      </c>
      <c r="H560" s="1" t="s">
        <v>43</v>
      </c>
      <c r="I560" s="1" t="s">
        <v>466</v>
      </c>
      <c r="J560">
        <v>110</v>
      </c>
      <c r="K560" s="1" t="s">
        <v>471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 s="1" t="s">
        <v>291</v>
      </c>
      <c r="B561" s="1" t="s">
        <v>150</v>
      </c>
      <c r="C561" s="1" t="s">
        <v>294</v>
      </c>
      <c r="D561" s="1" t="s">
        <v>449</v>
      </c>
      <c r="E561">
        <v>29</v>
      </c>
      <c r="F561" s="10" t="str">
        <f>IF(final_data[[#This Row],[Total_applicants]]=0,"unknown","-")</f>
        <v>-</v>
      </c>
      <c r="G561" s="5">
        <v>11245</v>
      </c>
      <c r="H561" s="1" t="s">
        <v>43</v>
      </c>
      <c r="I561" s="1" t="s">
        <v>466</v>
      </c>
      <c r="J561">
        <v>110</v>
      </c>
      <c r="K561" s="1" t="s">
        <v>471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 s="1" t="s">
        <v>291</v>
      </c>
      <c r="B562" s="1" t="s">
        <v>150</v>
      </c>
      <c r="C562" s="1" t="s">
        <v>42</v>
      </c>
      <c r="D562" s="1" t="s">
        <v>449</v>
      </c>
      <c r="E562">
        <v>3</v>
      </c>
      <c r="F562" s="10" t="str">
        <f>IF(final_data[[#This Row],[Total_applicants]]=0,"unknown","-")</f>
        <v>-</v>
      </c>
      <c r="G562" s="5">
        <v>11245</v>
      </c>
      <c r="H562" s="1" t="s">
        <v>43</v>
      </c>
      <c r="I562" s="1" t="s">
        <v>465</v>
      </c>
      <c r="J562">
        <v>110</v>
      </c>
      <c r="K562" s="1" t="s">
        <v>471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 s="1" t="s">
        <v>291</v>
      </c>
      <c r="B563" s="1" t="s">
        <v>150</v>
      </c>
      <c r="C563" s="1" t="s">
        <v>295</v>
      </c>
      <c r="D563" s="1" t="s">
        <v>455</v>
      </c>
      <c r="E563">
        <v>4</v>
      </c>
      <c r="F563" s="10" t="str">
        <f>IF(final_data[[#This Row],[Total_applicants]]=0,"unknown","-")</f>
        <v>-</v>
      </c>
      <c r="G563" s="5">
        <v>11245</v>
      </c>
      <c r="H563" s="1" t="s">
        <v>43</v>
      </c>
      <c r="I563" s="1" t="s">
        <v>465</v>
      </c>
      <c r="J563">
        <v>110</v>
      </c>
      <c r="K563" s="1" t="s">
        <v>471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 s="1" t="s">
        <v>291</v>
      </c>
      <c r="B564" s="1" t="s">
        <v>150</v>
      </c>
      <c r="C564" s="1" t="s">
        <v>296</v>
      </c>
      <c r="D564" s="1" t="s">
        <v>452</v>
      </c>
      <c r="E564">
        <v>0</v>
      </c>
      <c r="F564" s="10" t="str">
        <f>IF(final_data[[#This Row],[Total_applicants]]=0,"unknown","-")</f>
        <v>unknown</v>
      </c>
      <c r="G564" s="5">
        <v>11245</v>
      </c>
      <c r="H564" s="1" t="s">
        <v>43</v>
      </c>
      <c r="I564" s="1" t="s">
        <v>466</v>
      </c>
      <c r="J564">
        <v>110</v>
      </c>
      <c r="K564" s="1" t="s">
        <v>471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 s="1" t="s">
        <v>291</v>
      </c>
      <c r="B565" s="1" t="s">
        <v>150</v>
      </c>
      <c r="C565" s="1" t="s">
        <v>297</v>
      </c>
      <c r="D565" s="1" t="s">
        <v>450</v>
      </c>
      <c r="E565">
        <v>1</v>
      </c>
      <c r="F565" s="10" t="str">
        <f>IF(final_data[[#This Row],[Total_applicants]]=0,"unknown","-")</f>
        <v>-</v>
      </c>
      <c r="G565" s="5">
        <v>11245</v>
      </c>
      <c r="H565" s="1" t="s">
        <v>43</v>
      </c>
      <c r="I565" s="1" t="s">
        <v>466</v>
      </c>
      <c r="J565">
        <v>110</v>
      </c>
      <c r="K565" s="1" t="s">
        <v>471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 s="1" t="s">
        <v>291</v>
      </c>
      <c r="B566" s="1" t="s">
        <v>150</v>
      </c>
      <c r="C566" s="1" t="s">
        <v>298</v>
      </c>
      <c r="D566" s="1" t="s">
        <v>454</v>
      </c>
      <c r="E566">
        <v>26</v>
      </c>
      <c r="F566" s="10" t="str">
        <f>IF(final_data[[#This Row],[Total_applicants]]=0,"unknown","-")</f>
        <v>-</v>
      </c>
      <c r="G566" s="5">
        <v>11245</v>
      </c>
      <c r="H566" s="1" t="s">
        <v>43</v>
      </c>
      <c r="I566" s="1" t="s">
        <v>466</v>
      </c>
      <c r="J566">
        <v>110</v>
      </c>
      <c r="K566" s="1" t="s">
        <v>471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</row>
    <row r="567" spans="1:42" x14ac:dyDescent="0.25">
      <c r="A567" s="1" t="s">
        <v>291</v>
      </c>
      <c r="B567" s="1" t="s">
        <v>150</v>
      </c>
      <c r="C567" s="1" t="s">
        <v>298</v>
      </c>
      <c r="D567" s="1" t="s">
        <v>452</v>
      </c>
      <c r="E567">
        <v>31</v>
      </c>
      <c r="F567" s="10" t="str">
        <f>IF(final_data[[#This Row],[Total_applicants]]=0,"unknown","-")</f>
        <v>-</v>
      </c>
      <c r="G567" s="5">
        <v>11245</v>
      </c>
      <c r="H567" s="1" t="s">
        <v>43</v>
      </c>
      <c r="I567" s="1" t="s">
        <v>466</v>
      </c>
      <c r="J567">
        <v>110</v>
      </c>
      <c r="K567" s="1" t="s">
        <v>471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</row>
    <row r="568" spans="1:42" x14ac:dyDescent="0.25">
      <c r="A568" s="1" t="s">
        <v>291</v>
      </c>
      <c r="B568" s="1" t="s">
        <v>150</v>
      </c>
      <c r="C568" s="1" t="s">
        <v>299</v>
      </c>
      <c r="D568" s="1" t="s">
        <v>463</v>
      </c>
      <c r="E568">
        <v>0</v>
      </c>
      <c r="F568" s="10" t="str">
        <f>IF(final_data[[#This Row],[Total_applicants]]=0,"unknown","-")</f>
        <v>unknown</v>
      </c>
      <c r="G568" s="5">
        <v>11245</v>
      </c>
      <c r="H568" s="1" t="s">
        <v>43</v>
      </c>
      <c r="I568" s="1" t="s">
        <v>465</v>
      </c>
      <c r="J568">
        <v>110</v>
      </c>
      <c r="K568" s="1" t="s">
        <v>471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 s="1" t="s">
        <v>291</v>
      </c>
      <c r="B569" s="1" t="s">
        <v>150</v>
      </c>
      <c r="C569" s="1" t="s">
        <v>300</v>
      </c>
      <c r="D569" s="1" t="s">
        <v>449</v>
      </c>
      <c r="E569">
        <v>5</v>
      </c>
      <c r="F569" s="10" t="str">
        <f>IF(final_data[[#This Row],[Total_applicants]]=0,"unknown","-")</f>
        <v>-</v>
      </c>
      <c r="G569" s="5">
        <v>11245</v>
      </c>
      <c r="H569" s="1" t="s">
        <v>43</v>
      </c>
      <c r="I569" s="1" t="s">
        <v>466</v>
      </c>
      <c r="J569">
        <v>110</v>
      </c>
      <c r="K569" s="1" t="s">
        <v>471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 s="1" t="s">
        <v>291</v>
      </c>
      <c r="B570" s="1" t="s">
        <v>150</v>
      </c>
      <c r="C570" s="1" t="s">
        <v>297</v>
      </c>
      <c r="D570" s="1" t="s">
        <v>455</v>
      </c>
      <c r="E570">
        <v>4</v>
      </c>
      <c r="F570" s="10" t="str">
        <f>IF(final_data[[#This Row],[Total_applicants]]=0,"unknown","-")</f>
        <v>-</v>
      </c>
      <c r="G570" s="5">
        <v>11245</v>
      </c>
      <c r="H570" s="1" t="s">
        <v>43</v>
      </c>
      <c r="I570" s="1" t="s">
        <v>466</v>
      </c>
      <c r="J570">
        <v>110</v>
      </c>
      <c r="K570" s="1" t="s">
        <v>471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 s="1" t="s">
        <v>291</v>
      </c>
      <c r="B571" s="1" t="s">
        <v>150</v>
      </c>
      <c r="C571" s="1" t="s">
        <v>301</v>
      </c>
      <c r="D571" s="1" t="s">
        <v>452</v>
      </c>
      <c r="E571">
        <v>5</v>
      </c>
      <c r="F571" s="10" t="str">
        <f>IF(final_data[[#This Row],[Total_applicants]]=0,"unknown","-")</f>
        <v>-</v>
      </c>
      <c r="G571" s="5">
        <v>11245</v>
      </c>
      <c r="H571" s="1" t="s">
        <v>43</v>
      </c>
      <c r="I571" s="1" t="s">
        <v>466</v>
      </c>
      <c r="J571">
        <v>110</v>
      </c>
      <c r="K571" s="1" t="s">
        <v>471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 s="1" t="s">
        <v>291</v>
      </c>
      <c r="B572" s="1" t="s">
        <v>150</v>
      </c>
      <c r="C572" s="1" t="s">
        <v>302</v>
      </c>
      <c r="D572" s="1" t="s">
        <v>449</v>
      </c>
      <c r="E572">
        <v>2</v>
      </c>
      <c r="F572" s="10" t="str">
        <f>IF(final_data[[#This Row],[Total_applicants]]=0,"unknown","-")</f>
        <v>-</v>
      </c>
      <c r="G572" s="5">
        <v>11245</v>
      </c>
      <c r="H572" s="1" t="s">
        <v>43</v>
      </c>
      <c r="I572" s="1" t="s">
        <v>465</v>
      </c>
      <c r="J572">
        <v>110</v>
      </c>
      <c r="K572" s="1" t="s">
        <v>471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 s="1" t="s">
        <v>291</v>
      </c>
      <c r="B573" s="1" t="s">
        <v>150</v>
      </c>
      <c r="C573" s="1" t="s">
        <v>303</v>
      </c>
      <c r="D573" s="1" t="s">
        <v>452</v>
      </c>
      <c r="E573">
        <v>0</v>
      </c>
      <c r="F573" s="10" t="str">
        <f>IF(final_data[[#This Row],[Total_applicants]]=0,"unknown","-")</f>
        <v>unknown</v>
      </c>
      <c r="G573" s="5">
        <v>11245</v>
      </c>
      <c r="H573" s="1" t="s">
        <v>43</v>
      </c>
      <c r="I573" s="1" t="s">
        <v>465</v>
      </c>
      <c r="J573">
        <v>110</v>
      </c>
      <c r="K573" s="1" t="s">
        <v>471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 s="1" t="s">
        <v>291</v>
      </c>
      <c r="B574" s="1" t="s">
        <v>150</v>
      </c>
      <c r="C574" s="1" t="s">
        <v>304</v>
      </c>
      <c r="D574" s="1" t="s">
        <v>453</v>
      </c>
      <c r="E574">
        <v>45</v>
      </c>
      <c r="F574" s="10" t="str">
        <f>IF(final_data[[#This Row],[Total_applicants]]=0,"unknown","-")</f>
        <v>-</v>
      </c>
      <c r="G574" s="5">
        <v>11245</v>
      </c>
      <c r="H574" s="1" t="s">
        <v>43</v>
      </c>
      <c r="I574" s="1" t="s">
        <v>466</v>
      </c>
      <c r="J574">
        <v>110</v>
      </c>
      <c r="K574" s="1" t="s">
        <v>471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</row>
    <row r="575" spans="1:42" x14ac:dyDescent="0.25">
      <c r="A575" s="1" t="s">
        <v>291</v>
      </c>
      <c r="B575" s="1" t="s">
        <v>150</v>
      </c>
      <c r="C575" s="1" t="s">
        <v>296</v>
      </c>
      <c r="D575" s="1" t="s">
        <v>460</v>
      </c>
      <c r="E575">
        <v>0</v>
      </c>
      <c r="F575" s="10" t="str">
        <f>IF(final_data[[#This Row],[Total_applicants]]=0,"unknown","-")</f>
        <v>unknown</v>
      </c>
      <c r="G575" s="5">
        <v>11245</v>
      </c>
      <c r="H575" s="1" t="s">
        <v>43</v>
      </c>
      <c r="I575" s="1" t="s">
        <v>466</v>
      </c>
      <c r="J575">
        <v>110</v>
      </c>
      <c r="K575" s="1" t="s">
        <v>471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 s="1" t="s">
        <v>291</v>
      </c>
      <c r="B576" s="1" t="s">
        <v>150</v>
      </c>
      <c r="C576" s="1" t="s">
        <v>296</v>
      </c>
      <c r="D576" s="1" t="s">
        <v>451</v>
      </c>
      <c r="E576">
        <v>0</v>
      </c>
      <c r="F576" s="10" t="str">
        <f>IF(final_data[[#This Row],[Total_applicants]]=0,"unknown","-")</f>
        <v>unknown</v>
      </c>
      <c r="G576" s="5">
        <v>11245</v>
      </c>
      <c r="H576" s="1" t="s">
        <v>43</v>
      </c>
      <c r="I576" s="1" t="s">
        <v>466</v>
      </c>
      <c r="J576">
        <v>110</v>
      </c>
      <c r="K576" s="1" t="s">
        <v>471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 s="1" t="s">
        <v>291</v>
      </c>
      <c r="B577" s="1" t="s">
        <v>150</v>
      </c>
      <c r="C577" s="1" t="s">
        <v>305</v>
      </c>
      <c r="D577" s="1" t="s">
        <v>449</v>
      </c>
      <c r="E577">
        <v>0</v>
      </c>
      <c r="F577" s="10" t="str">
        <f>IF(final_data[[#This Row],[Total_applicants]]=0,"unknown","-")</f>
        <v>unknown</v>
      </c>
      <c r="G577" s="5">
        <v>11245</v>
      </c>
      <c r="H577" s="1" t="s">
        <v>43</v>
      </c>
      <c r="I577" s="1" t="s">
        <v>466</v>
      </c>
      <c r="J577">
        <v>110</v>
      </c>
      <c r="K577" s="1" t="s">
        <v>471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 s="1" t="s">
        <v>291</v>
      </c>
      <c r="B578" s="1" t="s">
        <v>150</v>
      </c>
      <c r="C578" s="1" t="s">
        <v>306</v>
      </c>
      <c r="D578" s="1" t="s">
        <v>450</v>
      </c>
      <c r="E578">
        <v>18</v>
      </c>
      <c r="F578" s="10" t="str">
        <f>IF(final_data[[#This Row],[Total_applicants]]=0,"unknown","-")</f>
        <v>-</v>
      </c>
      <c r="G578" s="5">
        <v>11245</v>
      </c>
      <c r="H578" s="1" t="s">
        <v>43</v>
      </c>
      <c r="I578" s="1" t="s">
        <v>465</v>
      </c>
      <c r="J578">
        <v>110</v>
      </c>
      <c r="K578" s="1" t="s">
        <v>471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1</v>
      </c>
    </row>
    <row r="579" spans="1:42" x14ac:dyDescent="0.25">
      <c r="A579" s="1" t="s">
        <v>291</v>
      </c>
      <c r="B579" s="1" t="s">
        <v>150</v>
      </c>
      <c r="C579" s="1" t="s">
        <v>306</v>
      </c>
      <c r="D579" s="1" t="s">
        <v>452</v>
      </c>
      <c r="E579">
        <v>25</v>
      </c>
      <c r="F579" s="10" t="str">
        <f>IF(final_data[[#This Row],[Total_applicants]]=0,"unknown","-")</f>
        <v>-</v>
      </c>
      <c r="G579" s="5">
        <v>11245</v>
      </c>
      <c r="H579" s="1" t="s">
        <v>43</v>
      </c>
      <c r="I579" s="1" t="s">
        <v>465</v>
      </c>
      <c r="J579">
        <v>110</v>
      </c>
      <c r="K579" s="1" t="s">
        <v>471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1</v>
      </c>
    </row>
    <row r="580" spans="1:42" x14ac:dyDescent="0.25">
      <c r="A580" s="1" t="s">
        <v>291</v>
      </c>
      <c r="B580" s="1" t="s">
        <v>150</v>
      </c>
      <c r="C580" s="1" t="s">
        <v>307</v>
      </c>
      <c r="D580" s="1" t="s">
        <v>450</v>
      </c>
      <c r="E580">
        <v>3</v>
      </c>
      <c r="F580" s="10" t="str">
        <f>IF(final_data[[#This Row],[Total_applicants]]=0,"unknown","-")</f>
        <v>-</v>
      </c>
      <c r="G580" s="5">
        <v>11245</v>
      </c>
      <c r="H580" s="1" t="s">
        <v>43</v>
      </c>
      <c r="I580" s="1" t="s">
        <v>466</v>
      </c>
      <c r="J580">
        <v>110</v>
      </c>
      <c r="K580" s="1" t="s">
        <v>471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 s="1" t="s">
        <v>291</v>
      </c>
      <c r="B581" s="1" t="s">
        <v>150</v>
      </c>
      <c r="C581" s="1" t="s">
        <v>308</v>
      </c>
      <c r="D581" s="1" t="s">
        <v>449</v>
      </c>
      <c r="E581">
        <v>0</v>
      </c>
      <c r="F581" s="10" t="str">
        <f>IF(final_data[[#This Row],[Total_applicants]]=0,"unknown","-")</f>
        <v>unknown</v>
      </c>
      <c r="G581" s="5">
        <v>11245</v>
      </c>
      <c r="H581" s="1" t="s">
        <v>43</v>
      </c>
      <c r="I581" s="1" t="s">
        <v>465</v>
      </c>
      <c r="J581">
        <v>110</v>
      </c>
      <c r="K581" s="1" t="s">
        <v>471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1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 s="1" t="s">
        <v>291</v>
      </c>
      <c r="B582" s="1" t="s">
        <v>150</v>
      </c>
      <c r="C582" s="1" t="s">
        <v>309</v>
      </c>
      <c r="D582" s="1" t="s">
        <v>456</v>
      </c>
      <c r="E582">
        <v>0</v>
      </c>
      <c r="F582" s="10" t="str">
        <f>IF(final_data[[#This Row],[Total_applicants]]=0,"unknown","-")</f>
        <v>unknown</v>
      </c>
      <c r="G582" s="5">
        <v>11245</v>
      </c>
      <c r="H582" s="1" t="s">
        <v>43</v>
      </c>
      <c r="I582" s="1" t="s">
        <v>466</v>
      </c>
      <c r="J582">
        <v>110</v>
      </c>
      <c r="K582" s="1" t="s">
        <v>471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 s="1" t="s">
        <v>291</v>
      </c>
      <c r="B583" s="1" t="s">
        <v>150</v>
      </c>
      <c r="C583" s="1" t="s">
        <v>296</v>
      </c>
      <c r="D583" s="1" t="s">
        <v>452</v>
      </c>
      <c r="E583">
        <v>1</v>
      </c>
      <c r="F583" s="10" t="str">
        <f>IF(final_data[[#This Row],[Total_applicants]]=0,"unknown","-")</f>
        <v>-</v>
      </c>
      <c r="G583" s="5">
        <v>11245</v>
      </c>
      <c r="H583" s="1" t="s">
        <v>43</v>
      </c>
      <c r="I583" s="1" t="s">
        <v>466</v>
      </c>
      <c r="J583">
        <v>110</v>
      </c>
      <c r="K583" s="1" t="s">
        <v>471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 s="1" t="s">
        <v>291</v>
      </c>
      <c r="B584" s="1" t="s">
        <v>150</v>
      </c>
      <c r="C584" s="1" t="s">
        <v>310</v>
      </c>
      <c r="D584" s="1" t="s">
        <v>452</v>
      </c>
      <c r="E584">
        <v>16</v>
      </c>
      <c r="F584" s="10" t="str">
        <f>IF(final_data[[#This Row],[Total_applicants]]=0,"unknown","-")</f>
        <v>-</v>
      </c>
      <c r="G584" s="5">
        <v>11245</v>
      </c>
      <c r="H584" s="1" t="s">
        <v>43</v>
      </c>
      <c r="I584" s="1" t="s">
        <v>465</v>
      </c>
      <c r="J584">
        <v>110</v>
      </c>
      <c r="K584" s="1" t="s">
        <v>471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 s="1" t="s">
        <v>291</v>
      </c>
      <c r="B585" s="1" t="s">
        <v>150</v>
      </c>
      <c r="C585" s="1" t="s">
        <v>309</v>
      </c>
      <c r="D585" s="1" t="s">
        <v>452</v>
      </c>
      <c r="E585">
        <v>1</v>
      </c>
      <c r="F585" s="10" t="str">
        <f>IF(final_data[[#This Row],[Total_applicants]]=0,"unknown","-")</f>
        <v>-</v>
      </c>
      <c r="G585" s="5">
        <v>11245</v>
      </c>
      <c r="H585" s="1" t="s">
        <v>43</v>
      </c>
      <c r="I585" s="1" t="s">
        <v>466</v>
      </c>
      <c r="J585">
        <v>110</v>
      </c>
      <c r="K585" s="1" t="s">
        <v>471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 s="1" t="s">
        <v>291</v>
      </c>
      <c r="B586" s="1" t="s">
        <v>150</v>
      </c>
      <c r="C586" s="1" t="s">
        <v>310</v>
      </c>
      <c r="D586" s="1" t="s">
        <v>453</v>
      </c>
      <c r="E586">
        <v>19</v>
      </c>
      <c r="F586" s="10" t="str">
        <f>IF(final_data[[#This Row],[Total_applicants]]=0,"unknown","-")</f>
        <v>-</v>
      </c>
      <c r="G586" s="5">
        <v>11245</v>
      </c>
      <c r="H586" s="1" t="s">
        <v>43</v>
      </c>
      <c r="I586" s="1" t="s">
        <v>465</v>
      </c>
      <c r="J586">
        <v>110</v>
      </c>
      <c r="K586" s="1" t="s">
        <v>471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 s="1" t="s">
        <v>291</v>
      </c>
      <c r="B587" s="1" t="s">
        <v>150</v>
      </c>
      <c r="C587" s="1" t="s">
        <v>311</v>
      </c>
      <c r="D587" s="1" t="s">
        <v>449</v>
      </c>
      <c r="E587">
        <v>2</v>
      </c>
      <c r="F587" s="10" t="str">
        <f>IF(final_data[[#This Row],[Total_applicants]]=0,"unknown","-")</f>
        <v>-</v>
      </c>
      <c r="G587" s="5">
        <v>11245</v>
      </c>
      <c r="H587" s="1" t="s">
        <v>43</v>
      </c>
      <c r="I587" s="1" t="s">
        <v>466</v>
      </c>
      <c r="J587">
        <v>110</v>
      </c>
      <c r="K587" s="1" t="s">
        <v>471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 s="1" t="s">
        <v>291</v>
      </c>
      <c r="B588" s="1" t="s">
        <v>150</v>
      </c>
      <c r="C588" s="1" t="s">
        <v>312</v>
      </c>
      <c r="D588" s="1" t="s">
        <v>449</v>
      </c>
      <c r="E588">
        <v>12</v>
      </c>
      <c r="F588" s="10" t="str">
        <f>IF(final_data[[#This Row],[Total_applicants]]=0,"unknown","-")</f>
        <v>-</v>
      </c>
      <c r="G588" s="5">
        <v>11245</v>
      </c>
      <c r="H588" s="1" t="s">
        <v>43</v>
      </c>
      <c r="I588" s="1" t="s">
        <v>466</v>
      </c>
      <c r="J588">
        <v>110</v>
      </c>
      <c r="K588" s="1" t="s">
        <v>471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 s="1" t="s">
        <v>291</v>
      </c>
      <c r="B589" s="1" t="s">
        <v>150</v>
      </c>
      <c r="C589" s="1" t="s">
        <v>313</v>
      </c>
      <c r="D589" s="1" t="s">
        <v>449</v>
      </c>
      <c r="E589">
        <v>11</v>
      </c>
      <c r="F589" s="10" t="str">
        <f>IF(final_data[[#This Row],[Total_applicants]]=0,"unknown","-")</f>
        <v>-</v>
      </c>
      <c r="G589" s="5">
        <v>11245</v>
      </c>
      <c r="H589" s="1" t="s">
        <v>43</v>
      </c>
      <c r="I589" s="1" t="s">
        <v>466</v>
      </c>
      <c r="J589">
        <v>110</v>
      </c>
      <c r="K589" s="1" t="s">
        <v>471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 s="1" t="s">
        <v>291</v>
      </c>
      <c r="B590" s="1" t="s">
        <v>150</v>
      </c>
      <c r="C590" s="1" t="s">
        <v>314</v>
      </c>
      <c r="D590" s="1" t="s">
        <v>461</v>
      </c>
      <c r="E590">
        <v>1</v>
      </c>
      <c r="F590" s="10" t="str">
        <f>IF(final_data[[#This Row],[Total_applicants]]=0,"unknown","-")</f>
        <v>-</v>
      </c>
      <c r="G590" s="5">
        <v>11245</v>
      </c>
      <c r="H590" s="1" t="s">
        <v>43</v>
      </c>
      <c r="I590" s="1" t="s">
        <v>466</v>
      </c>
      <c r="J590">
        <v>110</v>
      </c>
      <c r="K590" s="1" t="s">
        <v>471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 s="1" t="s">
        <v>291</v>
      </c>
      <c r="B591" s="1" t="s">
        <v>150</v>
      </c>
      <c r="C591" s="1" t="s">
        <v>315</v>
      </c>
      <c r="D591" s="1" t="s">
        <v>451</v>
      </c>
      <c r="E591">
        <v>0</v>
      </c>
      <c r="F591" s="10" t="str">
        <f>IF(final_data[[#This Row],[Total_applicants]]=0,"unknown","-")</f>
        <v>unknown</v>
      </c>
      <c r="G591" s="5">
        <v>11245</v>
      </c>
      <c r="H591" s="1" t="s">
        <v>43</v>
      </c>
      <c r="I591" s="1" t="s">
        <v>466</v>
      </c>
      <c r="J591">
        <v>110</v>
      </c>
      <c r="K591" s="1" t="s">
        <v>471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 s="1" t="s">
        <v>291</v>
      </c>
      <c r="B592" s="1" t="s">
        <v>150</v>
      </c>
      <c r="C592" s="1" t="s">
        <v>316</v>
      </c>
      <c r="D592" s="1" t="s">
        <v>463</v>
      </c>
      <c r="E592">
        <v>0</v>
      </c>
      <c r="F592" s="10" t="str">
        <f>IF(final_data[[#This Row],[Total_applicants]]=0,"unknown","-")</f>
        <v>unknown</v>
      </c>
      <c r="G592" s="5">
        <v>11245</v>
      </c>
      <c r="H592" s="1" t="s">
        <v>43</v>
      </c>
      <c r="I592" s="1" t="s">
        <v>465</v>
      </c>
      <c r="J592">
        <v>110</v>
      </c>
      <c r="K592" s="1" t="s">
        <v>471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 s="1" t="s">
        <v>291</v>
      </c>
      <c r="B593" s="1" t="s">
        <v>150</v>
      </c>
      <c r="C593" s="1" t="s">
        <v>317</v>
      </c>
      <c r="D593" s="1" t="s">
        <v>449</v>
      </c>
      <c r="E593">
        <v>1</v>
      </c>
      <c r="F593" s="10" t="str">
        <f>IF(final_data[[#This Row],[Total_applicants]]=0,"unknown","-")</f>
        <v>-</v>
      </c>
      <c r="G593" s="5">
        <v>11245</v>
      </c>
      <c r="H593" s="1" t="s">
        <v>43</v>
      </c>
      <c r="I593" s="1" t="s">
        <v>465</v>
      </c>
      <c r="J593">
        <v>110</v>
      </c>
      <c r="K593" s="1" t="s">
        <v>471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 s="1" t="s">
        <v>291</v>
      </c>
      <c r="B594" s="1" t="s">
        <v>150</v>
      </c>
      <c r="C594" s="1" t="s">
        <v>318</v>
      </c>
      <c r="D594" s="1" t="s">
        <v>463</v>
      </c>
      <c r="E594">
        <v>11</v>
      </c>
      <c r="F594" s="10" t="str">
        <f>IF(final_data[[#This Row],[Total_applicants]]=0,"unknown","-")</f>
        <v>-</v>
      </c>
      <c r="G594" s="5">
        <v>11245</v>
      </c>
      <c r="H594" s="1" t="s">
        <v>43</v>
      </c>
      <c r="I594" s="1" t="s">
        <v>465</v>
      </c>
      <c r="J594">
        <v>110</v>
      </c>
      <c r="K594" s="1" t="s">
        <v>471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 s="1" t="s">
        <v>291</v>
      </c>
      <c r="B595" s="1" t="s">
        <v>150</v>
      </c>
      <c r="C595" s="1" t="s">
        <v>319</v>
      </c>
      <c r="D595" s="1" t="s">
        <v>449</v>
      </c>
      <c r="E595">
        <v>0</v>
      </c>
      <c r="F595" s="10" t="str">
        <f>IF(final_data[[#This Row],[Total_applicants]]=0,"unknown","-")</f>
        <v>unknown</v>
      </c>
      <c r="G595" s="5">
        <v>11245</v>
      </c>
      <c r="H595" s="1" t="s">
        <v>43</v>
      </c>
      <c r="I595" s="1" t="s">
        <v>466</v>
      </c>
      <c r="J595">
        <v>110</v>
      </c>
      <c r="K595" s="1" t="s">
        <v>471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 s="1" t="s">
        <v>291</v>
      </c>
      <c r="B596" s="1" t="s">
        <v>150</v>
      </c>
      <c r="C596" s="1" t="s">
        <v>303</v>
      </c>
      <c r="D596" s="1" t="s">
        <v>451</v>
      </c>
      <c r="E596">
        <v>2</v>
      </c>
      <c r="F596" s="10" t="str">
        <f>IF(final_data[[#This Row],[Total_applicants]]=0,"unknown","-")</f>
        <v>-</v>
      </c>
      <c r="G596" s="5">
        <v>11245</v>
      </c>
      <c r="H596" s="1" t="s">
        <v>43</v>
      </c>
      <c r="I596" s="1" t="s">
        <v>465</v>
      </c>
      <c r="J596">
        <v>110</v>
      </c>
      <c r="K596" s="1" t="s">
        <v>471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 s="1" t="s">
        <v>291</v>
      </c>
      <c r="B597" s="1" t="s">
        <v>150</v>
      </c>
      <c r="C597" s="1" t="s">
        <v>303</v>
      </c>
      <c r="D597" s="1" t="s">
        <v>460</v>
      </c>
      <c r="E597">
        <v>3</v>
      </c>
      <c r="F597" s="10" t="str">
        <f>IF(final_data[[#This Row],[Total_applicants]]=0,"unknown","-")</f>
        <v>-</v>
      </c>
      <c r="G597" s="5">
        <v>11245</v>
      </c>
      <c r="H597" s="1" t="s">
        <v>43</v>
      </c>
      <c r="I597" s="1" t="s">
        <v>465</v>
      </c>
      <c r="J597">
        <v>110</v>
      </c>
      <c r="K597" s="1" t="s">
        <v>471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 s="1" t="s">
        <v>291</v>
      </c>
      <c r="B598" s="1" t="s">
        <v>150</v>
      </c>
      <c r="C598" s="1" t="s">
        <v>320</v>
      </c>
      <c r="D598" s="1" t="s">
        <v>455</v>
      </c>
      <c r="E598">
        <v>16</v>
      </c>
      <c r="F598" s="10" t="str">
        <f>IF(final_data[[#This Row],[Total_applicants]]=0,"unknown","-")</f>
        <v>-</v>
      </c>
      <c r="G598" s="5">
        <v>11245</v>
      </c>
      <c r="H598" s="1" t="s">
        <v>43</v>
      </c>
      <c r="I598" s="1" t="s">
        <v>466</v>
      </c>
      <c r="J598">
        <v>110</v>
      </c>
      <c r="K598" s="1" t="s">
        <v>471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 s="1" t="s">
        <v>291</v>
      </c>
      <c r="B599" s="1" t="s">
        <v>150</v>
      </c>
      <c r="C599" s="1" t="s">
        <v>321</v>
      </c>
      <c r="D599" s="1" t="s">
        <v>452</v>
      </c>
      <c r="E599">
        <v>7</v>
      </c>
      <c r="F599" s="10" t="str">
        <f>IF(final_data[[#This Row],[Total_applicants]]=0,"unknown","-")</f>
        <v>-</v>
      </c>
      <c r="G599" s="5">
        <v>11245</v>
      </c>
      <c r="H599" s="1" t="s">
        <v>43</v>
      </c>
      <c r="I599" s="1" t="s">
        <v>466</v>
      </c>
      <c r="J599">
        <v>110</v>
      </c>
      <c r="K599" s="1" t="s">
        <v>471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 s="1" t="s">
        <v>291</v>
      </c>
      <c r="B600" s="1" t="s">
        <v>150</v>
      </c>
      <c r="C600" s="1" t="s">
        <v>322</v>
      </c>
      <c r="D600" s="1" t="s">
        <v>449</v>
      </c>
      <c r="E600">
        <v>5</v>
      </c>
      <c r="F600" s="10" t="str">
        <f>IF(final_data[[#This Row],[Total_applicants]]=0,"unknown","-")</f>
        <v>-</v>
      </c>
      <c r="G600" s="5">
        <v>11245</v>
      </c>
      <c r="H600" s="1" t="s">
        <v>43</v>
      </c>
      <c r="I600" s="1" t="s">
        <v>465</v>
      </c>
      <c r="J600">
        <v>110</v>
      </c>
      <c r="K600" s="1" t="s">
        <v>471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 s="1" t="s">
        <v>291</v>
      </c>
      <c r="B601" s="1" t="s">
        <v>150</v>
      </c>
      <c r="C601" s="1" t="s">
        <v>323</v>
      </c>
      <c r="D601" s="1" t="s">
        <v>455</v>
      </c>
      <c r="E601">
        <v>1</v>
      </c>
      <c r="F601" s="10" t="str">
        <f>IF(final_data[[#This Row],[Total_applicants]]=0,"unknown","-")</f>
        <v>-</v>
      </c>
      <c r="G601" s="5">
        <v>11245</v>
      </c>
      <c r="H601" s="1" t="s">
        <v>43</v>
      </c>
      <c r="I601" s="1" t="s">
        <v>465</v>
      </c>
      <c r="J601">
        <v>110</v>
      </c>
      <c r="K601" s="1" t="s">
        <v>471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1</v>
      </c>
    </row>
    <row r="602" spans="1:42" x14ac:dyDescent="0.25">
      <c r="A602" s="1" t="s">
        <v>291</v>
      </c>
      <c r="B602" s="1" t="s">
        <v>150</v>
      </c>
      <c r="C602" s="1" t="s">
        <v>314</v>
      </c>
      <c r="D602" s="1" t="s">
        <v>455</v>
      </c>
      <c r="E602">
        <v>4</v>
      </c>
      <c r="F602" s="10" t="str">
        <f>IF(final_data[[#This Row],[Total_applicants]]=0,"unknown","-")</f>
        <v>-</v>
      </c>
      <c r="G602" s="5">
        <v>11245</v>
      </c>
      <c r="H602" s="1" t="s">
        <v>43</v>
      </c>
      <c r="I602" s="1" t="s">
        <v>466</v>
      </c>
      <c r="J602">
        <v>110</v>
      </c>
      <c r="K602" s="1" t="s">
        <v>471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 s="1" t="s">
        <v>291</v>
      </c>
      <c r="B603" s="1" t="s">
        <v>150</v>
      </c>
      <c r="C603" s="1" t="s">
        <v>324</v>
      </c>
      <c r="D603" s="1" t="s">
        <v>453</v>
      </c>
      <c r="E603">
        <v>3</v>
      </c>
      <c r="F603" s="10" t="str">
        <f>IF(final_data[[#This Row],[Total_applicants]]=0,"unknown","-")</f>
        <v>-</v>
      </c>
      <c r="G603" s="5">
        <v>11245</v>
      </c>
      <c r="H603" s="1" t="s">
        <v>43</v>
      </c>
      <c r="I603" s="1" t="s">
        <v>466</v>
      </c>
      <c r="J603">
        <v>110</v>
      </c>
      <c r="K603" s="1" t="s">
        <v>471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 s="1" t="s">
        <v>291</v>
      </c>
      <c r="B604" s="1" t="s">
        <v>150</v>
      </c>
      <c r="C604" s="1" t="s">
        <v>325</v>
      </c>
      <c r="D604" s="1" t="s">
        <v>451</v>
      </c>
      <c r="E604">
        <v>8</v>
      </c>
      <c r="F604" s="10" t="str">
        <f>IF(final_data[[#This Row],[Total_applicants]]=0,"unknown","-")</f>
        <v>-</v>
      </c>
      <c r="G604" s="5">
        <v>11245</v>
      </c>
      <c r="H604" s="1" t="s">
        <v>43</v>
      </c>
      <c r="I604" s="1" t="s">
        <v>465</v>
      </c>
      <c r="J604">
        <v>110</v>
      </c>
      <c r="K604" s="1" t="s">
        <v>471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1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 s="1" t="s">
        <v>291</v>
      </c>
      <c r="B605" s="1" t="s">
        <v>150</v>
      </c>
      <c r="C605" s="1" t="s">
        <v>309</v>
      </c>
      <c r="D605" s="1" t="s">
        <v>450</v>
      </c>
      <c r="E605">
        <v>5</v>
      </c>
      <c r="F605" s="10" t="str">
        <f>IF(final_data[[#This Row],[Total_applicants]]=0,"unknown","-")</f>
        <v>-</v>
      </c>
      <c r="G605" s="5">
        <v>11245</v>
      </c>
      <c r="H605" s="1" t="s">
        <v>43</v>
      </c>
      <c r="I605" s="1" t="s">
        <v>466</v>
      </c>
      <c r="J605">
        <v>110</v>
      </c>
      <c r="K605" s="1" t="s">
        <v>471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 s="1" t="s">
        <v>291</v>
      </c>
      <c r="B606" s="1" t="s">
        <v>150</v>
      </c>
      <c r="C606" s="1" t="s">
        <v>305</v>
      </c>
      <c r="D606" s="1" t="s">
        <v>449</v>
      </c>
      <c r="E606">
        <v>1</v>
      </c>
      <c r="F606" s="10" t="str">
        <f>IF(final_data[[#This Row],[Total_applicants]]=0,"unknown","-")</f>
        <v>-</v>
      </c>
      <c r="G606" s="5">
        <v>11245</v>
      </c>
      <c r="H606" s="1" t="s">
        <v>43</v>
      </c>
      <c r="I606" s="1" t="s">
        <v>466</v>
      </c>
      <c r="J606">
        <v>110</v>
      </c>
      <c r="K606" s="1" t="s">
        <v>471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 s="1" t="s">
        <v>291</v>
      </c>
      <c r="B607" s="1" t="s">
        <v>150</v>
      </c>
      <c r="C607" s="1" t="s">
        <v>303</v>
      </c>
      <c r="D607" s="1" t="s">
        <v>457</v>
      </c>
      <c r="E607">
        <v>1</v>
      </c>
      <c r="F607" s="10" t="str">
        <f>IF(final_data[[#This Row],[Total_applicants]]=0,"unknown","-")</f>
        <v>-</v>
      </c>
      <c r="G607" s="5">
        <v>11245</v>
      </c>
      <c r="H607" s="1" t="s">
        <v>43</v>
      </c>
      <c r="I607" s="1" t="s">
        <v>465</v>
      </c>
      <c r="J607">
        <v>110</v>
      </c>
      <c r="K607" s="1" t="s">
        <v>471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 s="1" t="s">
        <v>291</v>
      </c>
      <c r="B608" s="1" t="s">
        <v>150</v>
      </c>
      <c r="C608" s="1" t="s">
        <v>303</v>
      </c>
      <c r="D608" s="1" t="s">
        <v>452</v>
      </c>
      <c r="E608">
        <v>2</v>
      </c>
      <c r="F608" s="10" t="str">
        <f>IF(final_data[[#This Row],[Total_applicants]]=0,"unknown","-")</f>
        <v>-</v>
      </c>
      <c r="G608" s="5">
        <v>11245</v>
      </c>
      <c r="H608" s="1" t="s">
        <v>43</v>
      </c>
      <c r="I608" s="1" t="s">
        <v>465</v>
      </c>
      <c r="J608">
        <v>110</v>
      </c>
      <c r="K608" s="1" t="s">
        <v>471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 s="1" t="s">
        <v>291</v>
      </c>
      <c r="B609" s="1" t="s">
        <v>150</v>
      </c>
      <c r="C609" s="1" t="s">
        <v>326</v>
      </c>
      <c r="D609" s="1" t="s">
        <v>449</v>
      </c>
      <c r="E609">
        <v>15</v>
      </c>
      <c r="F609" s="10" t="str">
        <f>IF(final_data[[#This Row],[Total_applicants]]=0,"unknown","-")</f>
        <v>-</v>
      </c>
      <c r="G609" s="5">
        <v>11245</v>
      </c>
      <c r="H609" s="1" t="s">
        <v>43</v>
      </c>
      <c r="I609" s="1" t="s">
        <v>466</v>
      </c>
      <c r="J609">
        <v>110</v>
      </c>
      <c r="K609" s="1" t="s">
        <v>471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 s="1" t="s">
        <v>291</v>
      </c>
      <c r="B610" s="1" t="s">
        <v>150</v>
      </c>
      <c r="C610" s="1" t="s">
        <v>327</v>
      </c>
      <c r="D610" s="1" t="s">
        <v>455</v>
      </c>
      <c r="E610">
        <v>2</v>
      </c>
      <c r="F610" s="10" t="str">
        <f>IF(final_data[[#This Row],[Total_applicants]]=0,"unknown","-")</f>
        <v>-</v>
      </c>
      <c r="G610" s="5">
        <v>11245</v>
      </c>
      <c r="H610" s="1" t="s">
        <v>43</v>
      </c>
      <c r="I610" s="1" t="s">
        <v>465</v>
      </c>
      <c r="J610">
        <v>110</v>
      </c>
      <c r="K610" s="1" t="s">
        <v>471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 s="1" t="s">
        <v>291</v>
      </c>
      <c r="B611" s="1" t="s">
        <v>150</v>
      </c>
      <c r="C611" s="1" t="s">
        <v>328</v>
      </c>
      <c r="D611" s="1" t="s">
        <v>449</v>
      </c>
      <c r="E611">
        <v>16</v>
      </c>
      <c r="F611" s="10" t="str">
        <f>IF(final_data[[#This Row],[Total_applicants]]=0,"unknown","-")</f>
        <v>-</v>
      </c>
      <c r="G611" s="5">
        <v>11245</v>
      </c>
      <c r="H611" s="1" t="s">
        <v>43</v>
      </c>
      <c r="I611" s="1" t="s">
        <v>465</v>
      </c>
      <c r="J611">
        <v>110</v>
      </c>
      <c r="K611" s="1" t="s">
        <v>471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 s="1" t="s">
        <v>291</v>
      </c>
      <c r="B612" s="1" t="s">
        <v>150</v>
      </c>
      <c r="C612" s="1" t="s">
        <v>315</v>
      </c>
      <c r="D612" s="1" t="s">
        <v>453</v>
      </c>
      <c r="E612">
        <v>0</v>
      </c>
      <c r="F612" s="10" t="str">
        <f>IF(final_data[[#This Row],[Total_applicants]]=0,"unknown","-")</f>
        <v>unknown</v>
      </c>
      <c r="G612" s="5">
        <v>11245</v>
      </c>
      <c r="H612" s="1" t="s">
        <v>43</v>
      </c>
      <c r="I612" s="1" t="s">
        <v>466</v>
      </c>
      <c r="J612">
        <v>110</v>
      </c>
      <c r="K612" s="1" t="s">
        <v>471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 s="1" t="s">
        <v>291</v>
      </c>
      <c r="B613" s="1" t="s">
        <v>150</v>
      </c>
      <c r="C613" s="1" t="s">
        <v>329</v>
      </c>
      <c r="D613" s="1" t="s">
        <v>451</v>
      </c>
      <c r="E613">
        <v>3</v>
      </c>
      <c r="F613" s="10" t="str">
        <f>IF(final_data[[#This Row],[Total_applicants]]=0,"unknown","-")</f>
        <v>-</v>
      </c>
      <c r="G613" s="5">
        <v>11245</v>
      </c>
      <c r="H613" s="1" t="s">
        <v>43</v>
      </c>
      <c r="I613" s="1" t="s">
        <v>466</v>
      </c>
      <c r="J613">
        <v>110</v>
      </c>
      <c r="K613" s="1" t="s">
        <v>471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 s="1" t="s">
        <v>291</v>
      </c>
      <c r="B614" s="1" t="s">
        <v>150</v>
      </c>
      <c r="C614" s="1" t="s">
        <v>330</v>
      </c>
      <c r="D614" s="1" t="s">
        <v>450</v>
      </c>
      <c r="E614">
        <v>4</v>
      </c>
      <c r="F614" s="10" t="str">
        <f>IF(final_data[[#This Row],[Total_applicants]]=0,"unknown","-")</f>
        <v>-</v>
      </c>
      <c r="G614" s="5">
        <v>11245</v>
      </c>
      <c r="H614" s="1" t="s">
        <v>43</v>
      </c>
      <c r="I614" s="1" t="s">
        <v>466</v>
      </c>
      <c r="J614">
        <v>110</v>
      </c>
      <c r="K614" s="1" t="s">
        <v>471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</row>
    <row r="615" spans="1:42" x14ac:dyDescent="0.25">
      <c r="A615" s="1" t="s">
        <v>291</v>
      </c>
      <c r="B615" s="1" t="s">
        <v>150</v>
      </c>
      <c r="C615" s="1" t="s">
        <v>330</v>
      </c>
      <c r="D615" s="1" t="s">
        <v>454</v>
      </c>
      <c r="E615">
        <v>0</v>
      </c>
      <c r="F615" s="10" t="str">
        <f>IF(final_data[[#This Row],[Total_applicants]]=0,"unknown","-")</f>
        <v>unknown</v>
      </c>
      <c r="G615" s="5">
        <v>11245</v>
      </c>
      <c r="H615" s="1" t="s">
        <v>43</v>
      </c>
      <c r="I615" s="1" t="s">
        <v>466</v>
      </c>
      <c r="J615">
        <v>110</v>
      </c>
      <c r="K615" s="1" t="s">
        <v>471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</row>
    <row r="616" spans="1:42" x14ac:dyDescent="0.25">
      <c r="A616" s="1" t="s">
        <v>291</v>
      </c>
      <c r="B616" s="1" t="s">
        <v>150</v>
      </c>
      <c r="C616" s="1" t="s">
        <v>308</v>
      </c>
      <c r="D616" s="1" t="s">
        <v>449</v>
      </c>
      <c r="E616">
        <v>4</v>
      </c>
      <c r="F616" s="10" t="str">
        <f>IF(final_data[[#This Row],[Total_applicants]]=0,"unknown","-")</f>
        <v>-</v>
      </c>
      <c r="G616" s="5">
        <v>11245</v>
      </c>
      <c r="H616" s="1" t="s">
        <v>43</v>
      </c>
      <c r="I616" s="1" t="s">
        <v>465</v>
      </c>
      <c r="J616">
        <v>110</v>
      </c>
      <c r="K616" s="1" t="s">
        <v>471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1</v>
      </c>
      <c r="AH616">
        <v>1</v>
      </c>
      <c r="AI616">
        <v>1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 s="1" t="s">
        <v>291</v>
      </c>
      <c r="B617" s="1" t="s">
        <v>150</v>
      </c>
      <c r="C617" s="1" t="s">
        <v>308</v>
      </c>
      <c r="D617" s="1" t="s">
        <v>451</v>
      </c>
      <c r="E617">
        <v>3</v>
      </c>
      <c r="F617" s="10" t="str">
        <f>IF(final_data[[#This Row],[Total_applicants]]=0,"unknown","-")</f>
        <v>-</v>
      </c>
      <c r="G617" s="5">
        <v>11245</v>
      </c>
      <c r="H617" s="1" t="s">
        <v>43</v>
      </c>
      <c r="I617" s="1" t="s">
        <v>465</v>
      </c>
      <c r="J617">
        <v>110</v>
      </c>
      <c r="K617" s="1" t="s">
        <v>471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1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 s="1" t="s">
        <v>291</v>
      </c>
      <c r="B618" s="1" t="s">
        <v>150</v>
      </c>
      <c r="C618" s="1" t="s">
        <v>308</v>
      </c>
      <c r="D618" s="1" t="s">
        <v>455</v>
      </c>
      <c r="E618">
        <v>11</v>
      </c>
      <c r="F618" s="10" t="str">
        <f>IF(final_data[[#This Row],[Total_applicants]]=0,"unknown","-")</f>
        <v>-</v>
      </c>
      <c r="G618" s="5">
        <v>11245</v>
      </c>
      <c r="H618" s="1" t="s">
        <v>43</v>
      </c>
      <c r="I618" s="1" t="s">
        <v>465</v>
      </c>
      <c r="J618">
        <v>110</v>
      </c>
      <c r="K618" s="1" t="s">
        <v>471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 s="1" t="s">
        <v>291</v>
      </c>
      <c r="B619" s="1" t="s">
        <v>150</v>
      </c>
      <c r="C619" s="1" t="s">
        <v>330</v>
      </c>
      <c r="D619" s="1" t="s">
        <v>451</v>
      </c>
      <c r="E619">
        <v>0</v>
      </c>
      <c r="F619" s="10" t="str">
        <f>IF(final_data[[#This Row],[Total_applicants]]=0,"unknown","-")</f>
        <v>unknown</v>
      </c>
      <c r="G619" s="5">
        <v>11245</v>
      </c>
      <c r="H619" s="1" t="s">
        <v>43</v>
      </c>
      <c r="I619" s="1" t="s">
        <v>466</v>
      </c>
      <c r="J619">
        <v>110</v>
      </c>
      <c r="K619" s="1" t="s">
        <v>471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</row>
    <row r="620" spans="1:42" x14ac:dyDescent="0.25">
      <c r="A620" s="1" t="s">
        <v>291</v>
      </c>
      <c r="B620" s="1" t="s">
        <v>150</v>
      </c>
      <c r="C620" s="1" t="s">
        <v>330</v>
      </c>
      <c r="D620" s="1" t="s">
        <v>455</v>
      </c>
      <c r="E620">
        <v>3</v>
      </c>
      <c r="F620" s="10" t="str">
        <f>IF(final_data[[#This Row],[Total_applicants]]=0,"unknown","-")</f>
        <v>-</v>
      </c>
      <c r="G620" s="5">
        <v>11245</v>
      </c>
      <c r="H620" s="1" t="s">
        <v>43</v>
      </c>
      <c r="I620" s="1" t="s">
        <v>466</v>
      </c>
      <c r="J620">
        <v>110</v>
      </c>
      <c r="K620" s="1" t="s">
        <v>471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</row>
    <row r="621" spans="1:42" x14ac:dyDescent="0.25">
      <c r="A621" s="1" t="s">
        <v>291</v>
      </c>
      <c r="B621" s="1" t="s">
        <v>150</v>
      </c>
      <c r="C621" s="1" t="s">
        <v>307</v>
      </c>
      <c r="D621" s="1" t="s">
        <v>449</v>
      </c>
      <c r="E621">
        <v>4</v>
      </c>
      <c r="F621" s="10" t="str">
        <f>IF(final_data[[#This Row],[Total_applicants]]=0,"unknown","-")</f>
        <v>-</v>
      </c>
      <c r="G621" s="5">
        <v>11245</v>
      </c>
      <c r="H621" s="1" t="s">
        <v>43</v>
      </c>
      <c r="I621" s="1" t="s">
        <v>466</v>
      </c>
      <c r="J621">
        <v>110</v>
      </c>
      <c r="K621" s="1" t="s">
        <v>471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 s="1" t="s">
        <v>291</v>
      </c>
      <c r="B622" s="1" t="s">
        <v>150</v>
      </c>
      <c r="C622" s="1" t="s">
        <v>298</v>
      </c>
      <c r="D622" s="1" t="s">
        <v>454</v>
      </c>
      <c r="E622">
        <v>33</v>
      </c>
      <c r="F622" s="10" t="str">
        <f>IF(final_data[[#This Row],[Total_applicants]]=0,"unknown","-")</f>
        <v>-</v>
      </c>
      <c r="G622" s="5">
        <v>11245</v>
      </c>
      <c r="H622" s="1" t="s">
        <v>43</v>
      </c>
      <c r="I622" s="1" t="s">
        <v>466</v>
      </c>
      <c r="J622">
        <v>110</v>
      </c>
      <c r="K622" s="1" t="s">
        <v>471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 x14ac:dyDescent="0.25">
      <c r="A623" s="1" t="s">
        <v>291</v>
      </c>
      <c r="B623" s="1" t="s">
        <v>150</v>
      </c>
      <c r="C623" s="1" t="s">
        <v>330</v>
      </c>
      <c r="D623" s="1" t="s">
        <v>453</v>
      </c>
      <c r="E623">
        <v>2</v>
      </c>
      <c r="F623" s="10" t="str">
        <f>IF(final_data[[#This Row],[Total_applicants]]=0,"unknown","-")</f>
        <v>-</v>
      </c>
      <c r="G623" s="5">
        <v>11245</v>
      </c>
      <c r="H623" s="1" t="s">
        <v>43</v>
      </c>
      <c r="I623" s="1" t="s">
        <v>466</v>
      </c>
      <c r="J623">
        <v>110</v>
      </c>
      <c r="K623" s="1" t="s">
        <v>471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</row>
    <row r="624" spans="1:42" x14ac:dyDescent="0.25">
      <c r="A624" s="1" t="s">
        <v>291</v>
      </c>
      <c r="B624" s="1" t="s">
        <v>150</v>
      </c>
      <c r="C624" s="1" t="s">
        <v>331</v>
      </c>
      <c r="D624" s="1" t="s">
        <v>450</v>
      </c>
      <c r="E624">
        <v>5</v>
      </c>
      <c r="F624" s="10" t="str">
        <f>IF(final_data[[#This Row],[Total_applicants]]=0,"unknown","-")</f>
        <v>-</v>
      </c>
      <c r="G624" s="5">
        <v>11245</v>
      </c>
      <c r="H624" s="1" t="s">
        <v>43</v>
      </c>
      <c r="I624" s="1" t="s">
        <v>466</v>
      </c>
      <c r="J624">
        <v>110</v>
      </c>
      <c r="K624" s="1" t="s">
        <v>471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 s="1" t="s">
        <v>291</v>
      </c>
      <c r="B625" s="1" t="s">
        <v>150</v>
      </c>
      <c r="C625" s="1" t="s">
        <v>309</v>
      </c>
      <c r="D625" s="1" t="s">
        <v>449</v>
      </c>
      <c r="E625">
        <v>1</v>
      </c>
      <c r="F625" s="10" t="str">
        <f>IF(final_data[[#This Row],[Total_applicants]]=0,"unknown","-")</f>
        <v>-</v>
      </c>
      <c r="G625" s="5">
        <v>11245</v>
      </c>
      <c r="H625" s="1" t="s">
        <v>43</v>
      </c>
      <c r="I625" s="1" t="s">
        <v>466</v>
      </c>
      <c r="J625">
        <v>110</v>
      </c>
      <c r="K625" s="1" t="s">
        <v>471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 s="1" t="s">
        <v>291</v>
      </c>
      <c r="B626" s="1" t="s">
        <v>150</v>
      </c>
      <c r="C626" s="1" t="s">
        <v>332</v>
      </c>
      <c r="D626" s="1" t="s">
        <v>455</v>
      </c>
      <c r="E626">
        <v>8</v>
      </c>
      <c r="F626" s="10" t="str">
        <f>IF(final_data[[#This Row],[Total_applicants]]=0,"unknown","-")</f>
        <v>-</v>
      </c>
      <c r="G626" s="5">
        <v>11245</v>
      </c>
      <c r="H626" s="1" t="s">
        <v>43</v>
      </c>
      <c r="I626" s="1" t="s">
        <v>466</v>
      </c>
      <c r="J626">
        <v>110</v>
      </c>
      <c r="K626" s="1" t="s">
        <v>471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25">
      <c r="A627" s="1" t="s">
        <v>291</v>
      </c>
      <c r="B627" s="1" t="s">
        <v>150</v>
      </c>
      <c r="C627" s="1" t="s">
        <v>333</v>
      </c>
      <c r="D627" s="1" t="s">
        <v>453</v>
      </c>
      <c r="E627">
        <v>3</v>
      </c>
      <c r="F627" s="10" t="str">
        <f>IF(final_data[[#This Row],[Total_applicants]]=0,"unknown","-")</f>
        <v>-</v>
      </c>
      <c r="G627" s="5">
        <v>11245</v>
      </c>
      <c r="H627" s="1" t="s">
        <v>43</v>
      </c>
      <c r="I627" s="1" t="s">
        <v>466</v>
      </c>
      <c r="J627">
        <v>110</v>
      </c>
      <c r="K627" s="1" t="s">
        <v>471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 s="1" t="s">
        <v>291</v>
      </c>
      <c r="B628" s="1" t="s">
        <v>150</v>
      </c>
      <c r="C628" s="1" t="s">
        <v>333</v>
      </c>
      <c r="D628" s="1" t="s">
        <v>452</v>
      </c>
      <c r="E628">
        <v>7</v>
      </c>
      <c r="F628" s="10" t="str">
        <f>IF(final_data[[#This Row],[Total_applicants]]=0,"unknown","-")</f>
        <v>-</v>
      </c>
      <c r="G628" s="5">
        <v>11245</v>
      </c>
      <c r="H628" s="1" t="s">
        <v>43</v>
      </c>
      <c r="I628" s="1" t="s">
        <v>466</v>
      </c>
      <c r="J628">
        <v>110</v>
      </c>
      <c r="K628" s="1" t="s">
        <v>471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 s="1" t="s">
        <v>291</v>
      </c>
      <c r="B629" s="1" t="s">
        <v>150</v>
      </c>
      <c r="C629" s="1" t="s">
        <v>334</v>
      </c>
      <c r="D629" s="1" t="s">
        <v>449</v>
      </c>
      <c r="E629">
        <v>1</v>
      </c>
      <c r="F629" s="10" t="str">
        <f>IF(final_data[[#This Row],[Total_applicants]]=0,"unknown","-")</f>
        <v>-</v>
      </c>
      <c r="G629" s="5">
        <v>11245</v>
      </c>
      <c r="H629" s="1" t="s">
        <v>43</v>
      </c>
      <c r="I629" s="1" t="s">
        <v>465</v>
      </c>
      <c r="J629">
        <v>110</v>
      </c>
      <c r="K629" s="1" t="s">
        <v>471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 s="1" t="s">
        <v>291</v>
      </c>
      <c r="B630" s="1" t="s">
        <v>150</v>
      </c>
      <c r="C630" s="1" t="s">
        <v>296</v>
      </c>
      <c r="D630" s="1" t="s">
        <v>455</v>
      </c>
      <c r="E630">
        <v>0</v>
      </c>
      <c r="F630" s="10" t="str">
        <f>IF(final_data[[#This Row],[Total_applicants]]=0,"unknown","-")</f>
        <v>unknown</v>
      </c>
      <c r="G630" s="5">
        <v>11245</v>
      </c>
      <c r="H630" s="1" t="s">
        <v>43</v>
      </c>
      <c r="I630" s="1" t="s">
        <v>466</v>
      </c>
      <c r="J630">
        <v>110</v>
      </c>
      <c r="K630" s="1" t="s">
        <v>471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 s="1" t="s">
        <v>291</v>
      </c>
      <c r="B631" s="1" t="s">
        <v>150</v>
      </c>
      <c r="C631" s="1" t="s">
        <v>335</v>
      </c>
      <c r="D631" s="1" t="s">
        <v>449</v>
      </c>
      <c r="E631">
        <v>3</v>
      </c>
      <c r="F631" s="10" t="str">
        <f>IF(final_data[[#This Row],[Total_applicants]]=0,"unknown","-")</f>
        <v>-</v>
      </c>
      <c r="G631" s="5">
        <v>11245</v>
      </c>
      <c r="H631" s="1" t="s">
        <v>43</v>
      </c>
      <c r="I631" s="1" t="s">
        <v>465</v>
      </c>
      <c r="J631">
        <v>110</v>
      </c>
      <c r="K631" s="1" t="s">
        <v>471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1</v>
      </c>
    </row>
    <row r="632" spans="1:42" x14ac:dyDescent="0.25">
      <c r="A632" s="1" t="s">
        <v>291</v>
      </c>
      <c r="B632" s="1" t="s">
        <v>150</v>
      </c>
      <c r="C632" s="1" t="s">
        <v>336</v>
      </c>
      <c r="D632" s="1" t="s">
        <v>449</v>
      </c>
      <c r="E632">
        <v>0</v>
      </c>
      <c r="F632" s="10" t="str">
        <f>IF(final_data[[#This Row],[Total_applicants]]=0,"unknown","-")</f>
        <v>unknown</v>
      </c>
      <c r="G632" s="5">
        <v>11245</v>
      </c>
      <c r="H632" s="1" t="s">
        <v>43</v>
      </c>
      <c r="I632" s="1" t="s">
        <v>466</v>
      </c>
      <c r="J632">
        <v>110</v>
      </c>
      <c r="K632" s="1" t="s">
        <v>471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 s="1" t="s">
        <v>291</v>
      </c>
      <c r="B633" s="1" t="s">
        <v>150</v>
      </c>
      <c r="C633" s="1" t="s">
        <v>336</v>
      </c>
      <c r="D633" s="1" t="s">
        <v>455</v>
      </c>
      <c r="E633">
        <v>0</v>
      </c>
      <c r="F633" s="10" t="str">
        <f>IF(final_data[[#This Row],[Total_applicants]]=0,"unknown","-")</f>
        <v>unknown</v>
      </c>
      <c r="G633" s="5">
        <v>11245</v>
      </c>
      <c r="H633" s="1" t="s">
        <v>43</v>
      </c>
      <c r="I633" s="1" t="s">
        <v>466</v>
      </c>
      <c r="J633">
        <v>110</v>
      </c>
      <c r="K633" s="1" t="s">
        <v>471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 s="1" t="s">
        <v>291</v>
      </c>
      <c r="B634" s="1" t="s">
        <v>150</v>
      </c>
      <c r="C634" s="1" t="s">
        <v>332</v>
      </c>
      <c r="D634" s="1" t="s">
        <v>452</v>
      </c>
      <c r="E634">
        <v>7</v>
      </c>
      <c r="F634" s="10" t="str">
        <f>IF(final_data[[#This Row],[Total_applicants]]=0,"unknown","-")</f>
        <v>-</v>
      </c>
      <c r="G634" s="5">
        <v>11245</v>
      </c>
      <c r="H634" s="1" t="s">
        <v>43</v>
      </c>
      <c r="I634" s="1" t="s">
        <v>466</v>
      </c>
      <c r="J634">
        <v>110</v>
      </c>
      <c r="K634" s="1" t="s">
        <v>471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</row>
    <row r="635" spans="1:42" x14ac:dyDescent="0.25">
      <c r="A635" s="1" t="s">
        <v>291</v>
      </c>
      <c r="B635" s="1" t="s">
        <v>150</v>
      </c>
      <c r="C635" s="1" t="s">
        <v>337</v>
      </c>
      <c r="D635" s="1" t="s">
        <v>455</v>
      </c>
      <c r="E635">
        <v>11</v>
      </c>
      <c r="F635" s="10" t="str">
        <f>IF(final_data[[#This Row],[Total_applicants]]=0,"unknown","-")</f>
        <v>-</v>
      </c>
      <c r="G635" s="5">
        <v>11245</v>
      </c>
      <c r="H635" s="1" t="s">
        <v>43</v>
      </c>
      <c r="I635" s="1" t="s">
        <v>465</v>
      </c>
      <c r="J635">
        <v>110</v>
      </c>
      <c r="K635" s="1" t="s">
        <v>471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1</v>
      </c>
      <c r="AE635">
        <v>0</v>
      </c>
      <c r="AF635">
        <v>1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1</v>
      </c>
      <c r="AP635">
        <v>1</v>
      </c>
    </row>
    <row r="636" spans="1:42" x14ac:dyDescent="0.25">
      <c r="A636" s="1" t="s">
        <v>291</v>
      </c>
      <c r="B636" s="1" t="s">
        <v>150</v>
      </c>
      <c r="C636" s="1" t="s">
        <v>338</v>
      </c>
      <c r="D636" s="1" t="s">
        <v>449</v>
      </c>
      <c r="E636">
        <v>4</v>
      </c>
      <c r="F636" s="10" t="str">
        <f>IF(final_data[[#This Row],[Total_applicants]]=0,"unknown","-")</f>
        <v>-</v>
      </c>
      <c r="G636" s="5">
        <v>11245</v>
      </c>
      <c r="H636" s="1" t="s">
        <v>43</v>
      </c>
      <c r="I636" s="1" t="s">
        <v>466</v>
      </c>
      <c r="J636">
        <v>110</v>
      </c>
      <c r="K636" s="1" t="s">
        <v>471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 s="1" t="s">
        <v>291</v>
      </c>
      <c r="B637" s="1" t="s">
        <v>150</v>
      </c>
      <c r="C637" s="1" t="s">
        <v>308</v>
      </c>
      <c r="D637" s="1" t="s">
        <v>450</v>
      </c>
      <c r="E637">
        <v>6</v>
      </c>
      <c r="F637" s="10" t="str">
        <f>IF(final_data[[#This Row],[Total_applicants]]=0,"unknown","-")</f>
        <v>-</v>
      </c>
      <c r="G637" s="5">
        <v>11245</v>
      </c>
      <c r="H637" s="1" t="s">
        <v>43</v>
      </c>
      <c r="I637" s="1" t="s">
        <v>465</v>
      </c>
      <c r="J637">
        <v>110</v>
      </c>
      <c r="K637" s="1" t="s">
        <v>471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 s="1" t="s">
        <v>291</v>
      </c>
      <c r="B638" s="1" t="s">
        <v>150</v>
      </c>
      <c r="C638" s="1" t="s">
        <v>308</v>
      </c>
      <c r="D638" s="1" t="s">
        <v>457</v>
      </c>
      <c r="E638">
        <v>6</v>
      </c>
      <c r="F638" s="10" t="str">
        <f>IF(final_data[[#This Row],[Total_applicants]]=0,"unknown","-")</f>
        <v>-</v>
      </c>
      <c r="G638" s="5">
        <v>11245</v>
      </c>
      <c r="H638" s="1" t="s">
        <v>43</v>
      </c>
      <c r="I638" s="1" t="s">
        <v>465</v>
      </c>
      <c r="J638">
        <v>110</v>
      </c>
      <c r="K638" s="1" t="s">
        <v>471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1</v>
      </c>
      <c r="AI638">
        <v>1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 s="1" t="s">
        <v>291</v>
      </c>
      <c r="B639" s="1" t="s">
        <v>150</v>
      </c>
      <c r="C639" s="1" t="s">
        <v>339</v>
      </c>
      <c r="D639" s="1" t="s">
        <v>451</v>
      </c>
      <c r="E639">
        <v>0</v>
      </c>
      <c r="F639" s="10" t="str">
        <f>IF(final_data[[#This Row],[Total_applicants]]=0,"unknown","-")</f>
        <v>unknown</v>
      </c>
      <c r="G639" s="5">
        <v>11245</v>
      </c>
      <c r="H639" s="1" t="s">
        <v>43</v>
      </c>
      <c r="I639" s="1" t="s">
        <v>465</v>
      </c>
      <c r="J639">
        <v>110</v>
      </c>
      <c r="K639" s="1" t="s">
        <v>471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 s="1" t="s">
        <v>291</v>
      </c>
      <c r="B640" s="1" t="s">
        <v>150</v>
      </c>
      <c r="C640" s="1" t="s">
        <v>330</v>
      </c>
      <c r="D640" s="1" t="s">
        <v>449</v>
      </c>
      <c r="E640">
        <v>2</v>
      </c>
      <c r="F640" s="10" t="str">
        <f>IF(final_data[[#This Row],[Total_applicants]]=0,"unknown","-")</f>
        <v>-</v>
      </c>
      <c r="G640" s="5">
        <v>11245</v>
      </c>
      <c r="H640" s="1" t="s">
        <v>43</v>
      </c>
      <c r="I640" s="1" t="s">
        <v>466</v>
      </c>
      <c r="J640">
        <v>110</v>
      </c>
      <c r="K640" s="1" t="s">
        <v>471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</row>
    <row r="641" spans="1:42" x14ac:dyDescent="0.25">
      <c r="A641" s="1" t="s">
        <v>291</v>
      </c>
      <c r="B641" s="1" t="s">
        <v>150</v>
      </c>
      <c r="C641" s="1" t="s">
        <v>340</v>
      </c>
      <c r="D641" s="1" t="s">
        <v>449</v>
      </c>
      <c r="E641">
        <v>1</v>
      </c>
      <c r="F641" s="10" t="str">
        <f>IF(final_data[[#This Row],[Total_applicants]]=0,"unknown","-")</f>
        <v>-</v>
      </c>
      <c r="G641" s="5">
        <v>11245</v>
      </c>
      <c r="H641" s="1" t="s">
        <v>43</v>
      </c>
      <c r="I641" s="1" t="s">
        <v>466</v>
      </c>
      <c r="J641">
        <v>110</v>
      </c>
      <c r="K641" s="1" t="s">
        <v>471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 s="1" t="s">
        <v>291</v>
      </c>
      <c r="B642" s="1" t="s">
        <v>150</v>
      </c>
      <c r="C642" s="1" t="s">
        <v>341</v>
      </c>
      <c r="D642" s="1" t="s">
        <v>452</v>
      </c>
      <c r="E642">
        <v>3</v>
      </c>
      <c r="F642" s="10" t="str">
        <f>IF(final_data[[#This Row],[Total_applicants]]=0,"unknown","-")</f>
        <v>-</v>
      </c>
      <c r="G642" s="5">
        <v>11245</v>
      </c>
      <c r="H642" s="1" t="s">
        <v>43</v>
      </c>
      <c r="I642" s="1" t="s">
        <v>466</v>
      </c>
      <c r="J642">
        <v>110</v>
      </c>
      <c r="K642" s="1" t="s">
        <v>471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 s="1" t="s">
        <v>291</v>
      </c>
      <c r="B643" s="1" t="s">
        <v>150</v>
      </c>
      <c r="C643" s="1" t="s">
        <v>342</v>
      </c>
      <c r="D643" s="1" t="s">
        <v>453</v>
      </c>
      <c r="E643">
        <v>2</v>
      </c>
      <c r="F643" s="10" t="str">
        <f>IF(final_data[[#This Row],[Total_applicants]]=0,"unknown","-")</f>
        <v>-</v>
      </c>
      <c r="G643" s="5">
        <v>11245</v>
      </c>
      <c r="H643" s="1" t="s">
        <v>43</v>
      </c>
      <c r="I643" s="1" t="s">
        <v>466</v>
      </c>
      <c r="J643">
        <v>110</v>
      </c>
      <c r="K643" s="1" t="s">
        <v>471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 s="1" t="s">
        <v>291</v>
      </c>
      <c r="B644" s="1" t="s">
        <v>150</v>
      </c>
      <c r="C644" s="1" t="s">
        <v>342</v>
      </c>
      <c r="D644" s="1" t="s">
        <v>452</v>
      </c>
      <c r="E644">
        <v>0</v>
      </c>
      <c r="F644" s="10" t="str">
        <f>IF(final_data[[#This Row],[Total_applicants]]=0,"unknown","-")</f>
        <v>unknown</v>
      </c>
      <c r="G644" s="5">
        <v>11245</v>
      </c>
      <c r="H644" s="1" t="s">
        <v>43</v>
      </c>
      <c r="I644" s="1" t="s">
        <v>466</v>
      </c>
      <c r="J644">
        <v>110</v>
      </c>
      <c r="K644" s="1" t="s">
        <v>471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 s="1" t="s">
        <v>291</v>
      </c>
      <c r="B645" s="1" t="s">
        <v>150</v>
      </c>
      <c r="C645" s="1" t="s">
        <v>343</v>
      </c>
      <c r="D645" s="1" t="s">
        <v>449</v>
      </c>
      <c r="E645">
        <v>1</v>
      </c>
      <c r="F645" s="10" t="str">
        <f>IF(final_data[[#This Row],[Total_applicants]]=0,"unknown","-")</f>
        <v>-</v>
      </c>
      <c r="G645" s="5">
        <v>11245</v>
      </c>
      <c r="H645" s="1" t="s">
        <v>43</v>
      </c>
      <c r="I645" s="1" t="s">
        <v>465</v>
      </c>
      <c r="J645">
        <v>110</v>
      </c>
      <c r="K645" s="1" t="s">
        <v>471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 s="1" t="s">
        <v>291</v>
      </c>
      <c r="B646" s="1" t="s">
        <v>150</v>
      </c>
      <c r="C646" s="1" t="s">
        <v>344</v>
      </c>
      <c r="D646" s="1" t="s">
        <v>455</v>
      </c>
      <c r="E646">
        <v>2</v>
      </c>
      <c r="F646" s="10" t="str">
        <f>IF(final_data[[#This Row],[Total_applicants]]=0,"unknown","-")</f>
        <v>-</v>
      </c>
      <c r="G646" s="5">
        <v>11245</v>
      </c>
      <c r="H646" s="1" t="s">
        <v>43</v>
      </c>
      <c r="I646" s="1" t="s">
        <v>465</v>
      </c>
      <c r="J646">
        <v>110</v>
      </c>
      <c r="K646" s="1" t="s">
        <v>471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 s="1" t="s">
        <v>291</v>
      </c>
      <c r="B647" s="1" t="s">
        <v>150</v>
      </c>
      <c r="C647" s="1" t="s">
        <v>330</v>
      </c>
      <c r="D647" s="1" t="s">
        <v>452</v>
      </c>
      <c r="E647">
        <v>2</v>
      </c>
      <c r="F647" s="10" t="str">
        <f>IF(final_data[[#This Row],[Total_applicants]]=0,"unknown","-")</f>
        <v>-</v>
      </c>
      <c r="G647" s="5">
        <v>11245</v>
      </c>
      <c r="H647" s="1" t="s">
        <v>43</v>
      </c>
      <c r="I647" s="1" t="s">
        <v>466</v>
      </c>
      <c r="J647">
        <v>110</v>
      </c>
      <c r="K647" s="1" t="s">
        <v>471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</row>
    <row r="648" spans="1:42" x14ac:dyDescent="0.25">
      <c r="A648" s="1" t="s">
        <v>291</v>
      </c>
      <c r="B648" s="1" t="s">
        <v>150</v>
      </c>
      <c r="C648" s="1" t="s">
        <v>345</v>
      </c>
      <c r="D648" s="1" t="s">
        <v>449</v>
      </c>
      <c r="E648">
        <v>0</v>
      </c>
      <c r="F648" s="10" t="str">
        <f>IF(final_data[[#This Row],[Total_applicants]]=0,"unknown","-")</f>
        <v>unknown</v>
      </c>
      <c r="G648" s="5">
        <v>11245</v>
      </c>
      <c r="H648" s="1" t="s">
        <v>43</v>
      </c>
      <c r="I648" s="1" t="s">
        <v>466</v>
      </c>
      <c r="J648">
        <v>110</v>
      </c>
      <c r="K648" s="1" t="s">
        <v>471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 s="1" t="s">
        <v>291</v>
      </c>
      <c r="B649" s="1" t="s">
        <v>150</v>
      </c>
      <c r="C649" s="1" t="s">
        <v>315</v>
      </c>
      <c r="D649" s="1" t="s">
        <v>450</v>
      </c>
      <c r="E649">
        <v>1</v>
      </c>
      <c r="F649" s="10" t="str">
        <f>IF(final_data[[#This Row],[Total_applicants]]=0,"unknown","-")</f>
        <v>-</v>
      </c>
      <c r="G649" s="5">
        <v>11245</v>
      </c>
      <c r="H649" s="1" t="s">
        <v>43</v>
      </c>
      <c r="I649" s="1" t="s">
        <v>466</v>
      </c>
      <c r="J649">
        <v>110</v>
      </c>
      <c r="K649" s="1" t="s">
        <v>471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 s="1" t="s">
        <v>291</v>
      </c>
      <c r="B650" s="1" t="s">
        <v>150</v>
      </c>
      <c r="C650" s="1" t="s">
        <v>346</v>
      </c>
      <c r="D650" s="1" t="s">
        <v>452</v>
      </c>
      <c r="E650">
        <v>6</v>
      </c>
      <c r="F650" s="10" t="str">
        <f>IF(final_data[[#This Row],[Total_applicants]]=0,"unknown","-")</f>
        <v>-</v>
      </c>
      <c r="G650" s="5">
        <v>11245</v>
      </c>
      <c r="H650" s="1" t="s">
        <v>43</v>
      </c>
      <c r="I650" s="1" t="s">
        <v>466</v>
      </c>
      <c r="J650">
        <v>110</v>
      </c>
      <c r="K650" s="1" t="s">
        <v>471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 s="1" t="s">
        <v>291</v>
      </c>
      <c r="B651" s="1" t="s">
        <v>150</v>
      </c>
      <c r="C651" s="1" t="s">
        <v>347</v>
      </c>
      <c r="D651" s="1" t="s">
        <v>455</v>
      </c>
      <c r="E651">
        <v>7</v>
      </c>
      <c r="F651" s="10" t="str">
        <f>IF(final_data[[#This Row],[Total_applicants]]=0,"unknown","-")</f>
        <v>-</v>
      </c>
      <c r="G651" s="5">
        <v>11245</v>
      </c>
      <c r="H651" s="1" t="s">
        <v>43</v>
      </c>
      <c r="I651" s="1" t="s">
        <v>465</v>
      </c>
      <c r="J651">
        <v>110</v>
      </c>
      <c r="K651" s="1" t="s">
        <v>471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 s="1" t="s">
        <v>291</v>
      </c>
      <c r="B652" s="1" t="s">
        <v>150</v>
      </c>
      <c r="C652" s="1" t="s">
        <v>348</v>
      </c>
      <c r="D652" s="1" t="s">
        <v>449</v>
      </c>
      <c r="E652">
        <v>2</v>
      </c>
      <c r="F652" s="10" t="str">
        <f>IF(final_data[[#This Row],[Total_applicants]]=0,"unknown","-")</f>
        <v>-</v>
      </c>
      <c r="G652" s="5">
        <v>11245</v>
      </c>
      <c r="H652" s="1" t="s">
        <v>43</v>
      </c>
      <c r="I652" s="1" t="s">
        <v>465</v>
      </c>
      <c r="J652">
        <v>110</v>
      </c>
      <c r="K652" s="1" t="s">
        <v>471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1</v>
      </c>
    </row>
    <row r="653" spans="1:42" x14ac:dyDescent="0.25">
      <c r="A653" s="1" t="s">
        <v>291</v>
      </c>
      <c r="B653" s="1" t="s">
        <v>150</v>
      </c>
      <c r="C653" s="1" t="s">
        <v>296</v>
      </c>
      <c r="D653" s="1" t="s">
        <v>449</v>
      </c>
      <c r="E653">
        <v>0</v>
      </c>
      <c r="F653" s="10" t="str">
        <f>IF(final_data[[#This Row],[Total_applicants]]=0,"unknown","-")</f>
        <v>unknown</v>
      </c>
      <c r="G653" s="5">
        <v>11245</v>
      </c>
      <c r="H653" s="1" t="s">
        <v>43</v>
      </c>
      <c r="I653" s="1" t="s">
        <v>466</v>
      </c>
      <c r="J653">
        <v>110</v>
      </c>
      <c r="K653" s="1" t="s">
        <v>471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 s="1" t="s">
        <v>291</v>
      </c>
      <c r="B654" s="1" t="s">
        <v>150</v>
      </c>
      <c r="C654" s="1" t="s">
        <v>336</v>
      </c>
      <c r="D654" s="1" t="s">
        <v>450</v>
      </c>
      <c r="E654">
        <v>0</v>
      </c>
      <c r="F654" s="10" t="str">
        <f>IF(final_data[[#This Row],[Total_applicants]]=0,"unknown","-")</f>
        <v>unknown</v>
      </c>
      <c r="G654" s="5">
        <v>11245</v>
      </c>
      <c r="H654" s="1" t="s">
        <v>43</v>
      </c>
      <c r="I654" s="1" t="s">
        <v>466</v>
      </c>
      <c r="J654">
        <v>110</v>
      </c>
      <c r="K654" s="1" t="s">
        <v>471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 s="1" t="s">
        <v>349</v>
      </c>
      <c r="B655" s="1" t="s">
        <v>84</v>
      </c>
      <c r="C655" s="1" t="s">
        <v>50</v>
      </c>
      <c r="D655" s="1" t="s">
        <v>457</v>
      </c>
      <c r="E655">
        <v>22</v>
      </c>
      <c r="F655" s="10" t="str">
        <f>IF(final_data[[#This Row],[Total_applicants]]=0,"unknown","-")</f>
        <v>-</v>
      </c>
      <c r="G655" s="5">
        <v>783349</v>
      </c>
      <c r="H655" s="1" t="s">
        <v>43</v>
      </c>
      <c r="I655" s="1" t="s">
        <v>466</v>
      </c>
      <c r="J655">
        <v>10001</v>
      </c>
      <c r="K655" s="1" t="s">
        <v>469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 s="1" t="s">
        <v>350</v>
      </c>
      <c r="B656" s="1" t="s">
        <v>84</v>
      </c>
      <c r="C656" s="1" t="s">
        <v>351</v>
      </c>
      <c r="D656" s="1" t="s">
        <v>449</v>
      </c>
      <c r="E656">
        <v>115</v>
      </c>
      <c r="F656" s="10" t="str">
        <f>IF(final_data[[#This Row],[Total_applicants]]=0,"unknown","-")</f>
        <v>-</v>
      </c>
      <c r="G656" s="5">
        <v>235117</v>
      </c>
      <c r="H656" s="1" t="s">
        <v>43</v>
      </c>
      <c r="I656" s="1" t="s">
        <v>466</v>
      </c>
      <c r="J656">
        <v>10001</v>
      </c>
      <c r="K656" s="1" t="s">
        <v>472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1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 s="1" t="s">
        <v>350</v>
      </c>
      <c r="B657" s="1" t="s">
        <v>84</v>
      </c>
      <c r="C657" s="1" t="s">
        <v>352</v>
      </c>
      <c r="D657" s="1" t="s">
        <v>449</v>
      </c>
      <c r="E657">
        <v>35</v>
      </c>
      <c r="F657" s="10" t="str">
        <f>IF(final_data[[#This Row],[Total_applicants]]=0,"unknown","-")</f>
        <v>-</v>
      </c>
      <c r="G657" s="5">
        <v>235117</v>
      </c>
      <c r="H657" s="1" t="s">
        <v>43</v>
      </c>
      <c r="I657" s="1" t="s">
        <v>466</v>
      </c>
      <c r="J657">
        <v>10001</v>
      </c>
      <c r="K657" s="1" t="s">
        <v>472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1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 s="1" t="s">
        <v>350</v>
      </c>
      <c r="B658" s="1" t="s">
        <v>84</v>
      </c>
      <c r="C658" s="1" t="s">
        <v>353</v>
      </c>
      <c r="D658" s="1" t="s">
        <v>449</v>
      </c>
      <c r="E658">
        <v>82</v>
      </c>
      <c r="F658" s="10" t="str">
        <f>IF(final_data[[#This Row],[Total_applicants]]=0,"unknown","-")</f>
        <v>-</v>
      </c>
      <c r="G658" s="5">
        <v>235117</v>
      </c>
      <c r="H658" s="1" t="s">
        <v>43</v>
      </c>
      <c r="I658" s="1" t="s">
        <v>466</v>
      </c>
      <c r="J658">
        <v>10001</v>
      </c>
      <c r="K658" s="1" t="s">
        <v>472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 s="1" t="s">
        <v>354</v>
      </c>
      <c r="B659" s="1" t="s">
        <v>41</v>
      </c>
      <c r="C659" s="1" t="s">
        <v>355</v>
      </c>
      <c r="D659" s="1" t="s">
        <v>451</v>
      </c>
      <c r="E659">
        <v>0</v>
      </c>
      <c r="F659" s="10" t="str">
        <f>IF(final_data[[#This Row],[Total_applicants]]=0,"unknown","-")</f>
        <v>unknown</v>
      </c>
      <c r="G659" s="5">
        <v>11996967</v>
      </c>
      <c r="H659" s="1" t="s">
        <v>43</v>
      </c>
      <c r="I659" s="1" t="s">
        <v>468</v>
      </c>
      <c r="J659">
        <v>10001</v>
      </c>
      <c r="K659" s="1" t="s">
        <v>469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 s="1" t="s">
        <v>354</v>
      </c>
      <c r="B660" s="1" t="s">
        <v>41</v>
      </c>
      <c r="C660" s="1" t="s">
        <v>356</v>
      </c>
      <c r="D660" s="1" t="s">
        <v>451</v>
      </c>
      <c r="E660">
        <v>57</v>
      </c>
      <c r="F660" s="10" t="str">
        <f>IF(final_data[[#This Row],[Total_applicants]]=0,"unknown","-")</f>
        <v>-</v>
      </c>
      <c r="G660" s="5">
        <v>11996967</v>
      </c>
      <c r="H660" s="1" t="s">
        <v>43</v>
      </c>
      <c r="I660" s="1" t="s">
        <v>466</v>
      </c>
      <c r="J660">
        <v>10001</v>
      </c>
      <c r="K660" s="1" t="s">
        <v>469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 s="1" t="s">
        <v>354</v>
      </c>
      <c r="B661" s="1" t="s">
        <v>41</v>
      </c>
      <c r="C661" s="1" t="s">
        <v>357</v>
      </c>
      <c r="D661" s="1" t="s">
        <v>451</v>
      </c>
      <c r="E661">
        <v>148</v>
      </c>
      <c r="F661" s="10" t="str">
        <f>IF(final_data[[#This Row],[Total_applicants]]=0,"unknown","-")</f>
        <v>-</v>
      </c>
      <c r="G661" s="5">
        <v>11996967</v>
      </c>
      <c r="H661" s="1" t="s">
        <v>43</v>
      </c>
      <c r="I661" s="1" t="s">
        <v>466</v>
      </c>
      <c r="J661">
        <v>10001</v>
      </c>
      <c r="K661" s="1" t="s">
        <v>469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1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 s="1" t="s">
        <v>354</v>
      </c>
      <c r="B662" s="1" t="s">
        <v>41</v>
      </c>
      <c r="C662" s="1" t="s">
        <v>358</v>
      </c>
      <c r="D662" s="1" t="s">
        <v>456</v>
      </c>
      <c r="E662">
        <v>7</v>
      </c>
      <c r="F662" s="10" t="str">
        <f>IF(final_data[[#This Row],[Total_applicants]]=0,"unknown","-")</f>
        <v>-</v>
      </c>
      <c r="G662" s="5">
        <v>11996967</v>
      </c>
      <c r="H662" s="1" t="s">
        <v>43</v>
      </c>
      <c r="I662" s="1" t="s">
        <v>468</v>
      </c>
      <c r="J662">
        <v>10001</v>
      </c>
      <c r="K662" s="1" t="s">
        <v>469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 s="1" t="s">
        <v>354</v>
      </c>
      <c r="B663" s="1" t="s">
        <v>41</v>
      </c>
      <c r="C663" s="1" t="s">
        <v>356</v>
      </c>
      <c r="D663" s="1" t="s">
        <v>452</v>
      </c>
      <c r="E663">
        <v>93</v>
      </c>
      <c r="F663" s="10" t="str">
        <f>IF(final_data[[#This Row],[Total_applicants]]=0,"unknown","-")</f>
        <v>-</v>
      </c>
      <c r="G663" s="5">
        <v>11996967</v>
      </c>
      <c r="H663" s="1" t="s">
        <v>43</v>
      </c>
      <c r="I663" s="1" t="s">
        <v>466</v>
      </c>
      <c r="J663">
        <v>10001</v>
      </c>
      <c r="K663" s="1" t="s">
        <v>469</v>
      </c>
      <c r="L663">
        <v>1</v>
      </c>
      <c r="M663">
        <v>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 s="1" t="s">
        <v>354</v>
      </c>
      <c r="B664" s="1" t="s">
        <v>41</v>
      </c>
      <c r="C664" s="1" t="s">
        <v>358</v>
      </c>
      <c r="D664" s="1" t="s">
        <v>452</v>
      </c>
      <c r="E664">
        <v>16</v>
      </c>
      <c r="F664" s="10" t="str">
        <f>IF(final_data[[#This Row],[Total_applicants]]=0,"unknown","-")</f>
        <v>-</v>
      </c>
      <c r="G664" s="5">
        <v>11996967</v>
      </c>
      <c r="H664" s="1" t="s">
        <v>43</v>
      </c>
      <c r="I664" s="1" t="s">
        <v>468</v>
      </c>
      <c r="J664">
        <v>10001</v>
      </c>
      <c r="K664" s="1" t="s">
        <v>469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 s="1" t="s">
        <v>354</v>
      </c>
      <c r="B665" s="1" t="s">
        <v>41</v>
      </c>
      <c r="C665" s="1" t="s">
        <v>357</v>
      </c>
      <c r="D665" s="1" t="s">
        <v>451</v>
      </c>
      <c r="E665">
        <v>168</v>
      </c>
      <c r="F665" s="10" t="str">
        <f>IF(final_data[[#This Row],[Total_applicants]]=0,"unknown","-")</f>
        <v>-</v>
      </c>
      <c r="G665" s="5">
        <v>11996967</v>
      </c>
      <c r="H665" s="1" t="s">
        <v>43</v>
      </c>
      <c r="I665" s="1" t="s">
        <v>468</v>
      </c>
      <c r="J665">
        <v>10001</v>
      </c>
      <c r="K665" s="1" t="s">
        <v>469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1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</row>
    <row r="666" spans="1:42" x14ac:dyDescent="0.25">
      <c r="A666" s="1" t="s">
        <v>354</v>
      </c>
      <c r="B666" s="1" t="s">
        <v>41</v>
      </c>
      <c r="C666" s="1" t="s">
        <v>359</v>
      </c>
      <c r="D666" s="1" t="s">
        <v>449</v>
      </c>
      <c r="E666">
        <v>19</v>
      </c>
      <c r="F666" s="10" t="str">
        <f>IF(final_data[[#This Row],[Total_applicants]]=0,"unknown","-")</f>
        <v>-</v>
      </c>
      <c r="G666" s="5">
        <v>11996967</v>
      </c>
      <c r="H666" s="1" t="s">
        <v>43</v>
      </c>
      <c r="I666" s="1" t="s">
        <v>466</v>
      </c>
      <c r="J666">
        <v>10001</v>
      </c>
      <c r="K666" s="1" t="s">
        <v>469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 s="1" t="s">
        <v>354</v>
      </c>
      <c r="B667" s="1" t="s">
        <v>41</v>
      </c>
      <c r="C667" s="1" t="s">
        <v>358</v>
      </c>
      <c r="D667" s="1" t="s">
        <v>451</v>
      </c>
      <c r="E667">
        <v>21</v>
      </c>
      <c r="F667" s="10" t="str">
        <f>IF(final_data[[#This Row],[Total_applicants]]=0,"unknown","-")</f>
        <v>-</v>
      </c>
      <c r="G667" s="5">
        <v>11996967</v>
      </c>
      <c r="H667" s="1" t="s">
        <v>43</v>
      </c>
      <c r="I667" s="1" t="s">
        <v>468</v>
      </c>
      <c r="J667">
        <v>10001</v>
      </c>
      <c r="K667" s="1" t="s">
        <v>469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 s="1" t="s">
        <v>354</v>
      </c>
      <c r="B668" s="1" t="s">
        <v>41</v>
      </c>
      <c r="C668" s="1" t="s">
        <v>356</v>
      </c>
      <c r="D668" s="1" t="s">
        <v>451</v>
      </c>
      <c r="E668">
        <v>58</v>
      </c>
      <c r="F668" s="10" t="str">
        <f>IF(final_data[[#This Row],[Total_applicants]]=0,"unknown","-")</f>
        <v>-</v>
      </c>
      <c r="G668" s="5">
        <v>11996967</v>
      </c>
      <c r="H668" s="1" t="s">
        <v>43</v>
      </c>
      <c r="I668" s="1" t="s">
        <v>466</v>
      </c>
      <c r="J668">
        <v>10001</v>
      </c>
      <c r="K668" s="1" t="s">
        <v>469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 s="1" t="s">
        <v>354</v>
      </c>
      <c r="B669" s="1" t="s">
        <v>41</v>
      </c>
      <c r="C669" s="1" t="s">
        <v>360</v>
      </c>
      <c r="D669" s="1" t="s">
        <v>452</v>
      </c>
      <c r="E669">
        <v>196</v>
      </c>
      <c r="F669" s="10" t="str">
        <f>IF(final_data[[#This Row],[Total_applicants]]=0,"unknown","-")</f>
        <v>-</v>
      </c>
      <c r="G669" s="5">
        <v>11996967</v>
      </c>
      <c r="H669" s="1" t="s">
        <v>43</v>
      </c>
      <c r="I669" s="1" t="s">
        <v>466</v>
      </c>
      <c r="J669">
        <v>10001</v>
      </c>
      <c r="K669" s="1" t="s">
        <v>469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 s="1" t="s">
        <v>354</v>
      </c>
      <c r="B670" s="1" t="s">
        <v>41</v>
      </c>
      <c r="C670" s="1" t="s">
        <v>358</v>
      </c>
      <c r="D670" s="1" t="s">
        <v>449</v>
      </c>
      <c r="E670">
        <v>20</v>
      </c>
      <c r="F670" s="10" t="str">
        <f>IF(final_data[[#This Row],[Total_applicants]]=0,"unknown","-")</f>
        <v>-</v>
      </c>
      <c r="G670" s="5">
        <v>11996967</v>
      </c>
      <c r="H670" s="1" t="s">
        <v>43</v>
      </c>
      <c r="I670" s="1" t="s">
        <v>468</v>
      </c>
      <c r="J670">
        <v>10001</v>
      </c>
      <c r="K670" s="1" t="s">
        <v>469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 s="1" t="s">
        <v>354</v>
      </c>
      <c r="B671" s="1" t="s">
        <v>41</v>
      </c>
      <c r="C671" s="1" t="s">
        <v>358</v>
      </c>
      <c r="D671" s="1" t="s">
        <v>462</v>
      </c>
      <c r="E671">
        <v>11</v>
      </c>
      <c r="F671" s="10" t="str">
        <f>IF(final_data[[#This Row],[Total_applicants]]=0,"unknown","-")</f>
        <v>-</v>
      </c>
      <c r="G671" s="5">
        <v>11996967</v>
      </c>
      <c r="H671" s="1" t="s">
        <v>43</v>
      </c>
      <c r="I671" s="1" t="s">
        <v>468</v>
      </c>
      <c r="J671">
        <v>10001</v>
      </c>
      <c r="K671" s="1" t="s">
        <v>469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 s="1" t="s">
        <v>354</v>
      </c>
      <c r="B672" s="1" t="s">
        <v>41</v>
      </c>
      <c r="C672" s="1" t="s">
        <v>361</v>
      </c>
      <c r="D672" s="1" t="s">
        <v>459</v>
      </c>
      <c r="E672">
        <v>38</v>
      </c>
      <c r="F672" s="10" t="str">
        <f>IF(final_data[[#This Row],[Total_applicants]]=0,"unknown","-")</f>
        <v>-</v>
      </c>
      <c r="G672" s="5">
        <v>11996967</v>
      </c>
      <c r="H672" s="1" t="s">
        <v>43</v>
      </c>
      <c r="I672" s="1" t="s">
        <v>468</v>
      </c>
      <c r="J672">
        <v>10001</v>
      </c>
      <c r="K672" s="1" t="s">
        <v>469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 s="1" t="s">
        <v>362</v>
      </c>
      <c r="B673" s="1" t="s">
        <v>288</v>
      </c>
      <c r="C673" s="1" t="s">
        <v>363</v>
      </c>
      <c r="D673" s="1" t="s">
        <v>449</v>
      </c>
      <c r="E673">
        <v>19</v>
      </c>
      <c r="F673" s="10" t="str">
        <f>IF(final_data[[#This Row],[Total_applicants]]=0,"unknown","-")</f>
        <v>-</v>
      </c>
      <c r="G673" s="5">
        <v>793022</v>
      </c>
      <c r="H673" s="1" t="s">
        <v>43</v>
      </c>
      <c r="I673" s="1" t="s">
        <v>466</v>
      </c>
      <c r="J673">
        <v>5000</v>
      </c>
      <c r="K673" s="1" t="s">
        <v>469</v>
      </c>
      <c r="L673">
        <v>1</v>
      </c>
      <c r="M673">
        <v>1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</row>
    <row r="674" spans="1:42" x14ac:dyDescent="0.25">
      <c r="A674" s="1" t="s">
        <v>362</v>
      </c>
      <c r="B674" s="1" t="s">
        <v>288</v>
      </c>
      <c r="C674" s="1" t="s">
        <v>364</v>
      </c>
      <c r="D674" s="1" t="s">
        <v>449</v>
      </c>
      <c r="E674">
        <v>22</v>
      </c>
      <c r="F674" s="10" t="str">
        <f>IF(final_data[[#This Row],[Total_applicants]]=0,"unknown","-")</f>
        <v>-</v>
      </c>
      <c r="G674" s="5">
        <v>793022</v>
      </c>
      <c r="H674" s="1" t="s">
        <v>43</v>
      </c>
      <c r="I674" s="1" t="s">
        <v>466</v>
      </c>
      <c r="J674">
        <v>5000</v>
      </c>
      <c r="K674" s="1" t="s">
        <v>469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1</v>
      </c>
    </row>
    <row r="675" spans="1:42" x14ac:dyDescent="0.25">
      <c r="A675" s="1" t="s">
        <v>362</v>
      </c>
      <c r="B675" s="1" t="s">
        <v>288</v>
      </c>
      <c r="C675" s="1" t="s">
        <v>364</v>
      </c>
      <c r="D675" s="1" t="s">
        <v>450</v>
      </c>
      <c r="E675">
        <v>36</v>
      </c>
      <c r="F675" s="10" t="str">
        <f>IF(final_data[[#This Row],[Total_applicants]]=0,"unknown","-")</f>
        <v>-</v>
      </c>
      <c r="G675" s="5">
        <v>793022</v>
      </c>
      <c r="H675" s="1" t="s">
        <v>43</v>
      </c>
      <c r="I675" s="1" t="s">
        <v>466</v>
      </c>
      <c r="J675">
        <v>5000</v>
      </c>
      <c r="K675" s="1" t="s">
        <v>469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1</v>
      </c>
    </row>
    <row r="676" spans="1:42" x14ac:dyDescent="0.25">
      <c r="A676" s="1" t="s">
        <v>362</v>
      </c>
      <c r="B676" s="1" t="s">
        <v>288</v>
      </c>
      <c r="C676" s="1" t="s">
        <v>364</v>
      </c>
      <c r="D676" s="1" t="s">
        <v>452</v>
      </c>
      <c r="E676">
        <v>25</v>
      </c>
      <c r="F676" s="10" t="str">
        <f>IF(final_data[[#This Row],[Total_applicants]]=0,"unknown","-")</f>
        <v>-</v>
      </c>
      <c r="G676" s="5">
        <v>793022</v>
      </c>
      <c r="H676" s="1" t="s">
        <v>43</v>
      </c>
      <c r="I676" s="1" t="s">
        <v>466</v>
      </c>
      <c r="J676">
        <v>5000</v>
      </c>
      <c r="K676" s="1" t="s">
        <v>469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1</v>
      </c>
    </row>
    <row r="677" spans="1:42" x14ac:dyDescent="0.25">
      <c r="A677" s="1" t="s">
        <v>362</v>
      </c>
      <c r="B677" s="1" t="s">
        <v>288</v>
      </c>
      <c r="C677" s="1" t="s">
        <v>365</v>
      </c>
      <c r="D677" s="1" t="s">
        <v>461</v>
      </c>
      <c r="E677">
        <v>23</v>
      </c>
      <c r="F677" s="10" t="str">
        <f>IF(final_data[[#This Row],[Total_applicants]]=0,"unknown","-")</f>
        <v>-</v>
      </c>
      <c r="G677" s="5">
        <v>793022</v>
      </c>
      <c r="H677" s="1" t="s">
        <v>43</v>
      </c>
      <c r="I677" s="1" t="s">
        <v>466</v>
      </c>
      <c r="J677">
        <v>5000</v>
      </c>
      <c r="K677" s="1" t="s">
        <v>469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1</v>
      </c>
    </row>
    <row r="678" spans="1:42" x14ac:dyDescent="0.25">
      <c r="A678" s="1" t="s">
        <v>362</v>
      </c>
      <c r="B678" s="1" t="s">
        <v>288</v>
      </c>
      <c r="C678" s="1" t="s">
        <v>364</v>
      </c>
      <c r="D678" s="1" t="s">
        <v>449</v>
      </c>
      <c r="E678">
        <v>24</v>
      </c>
      <c r="F678" s="10" t="str">
        <f>IF(final_data[[#This Row],[Total_applicants]]=0,"unknown","-")</f>
        <v>-</v>
      </c>
      <c r="G678" s="5">
        <v>793022</v>
      </c>
      <c r="H678" s="1" t="s">
        <v>43</v>
      </c>
      <c r="I678" s="1" t="s">
        <v>466</v>
      </c>
      <c r="J678">
        <v>5000</v>
      </c>
      <c r="K678" s="1" t="s">
        <v>469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1</v>
      </c>
    </row>
    <row r="679" spans="1:42" x14ac:dyDescent="0.25">
      <c r="A679" s="1" t="s">
        <v>362</v>
      </c>
      <c r="B679" s="1" t="s">
        <v>288</v>
      </c>
      <c r="C679" s="1" t="s">
        <v>366</v>
      </c>
      <c r="D679" s="1" t="s">
        <v>463</v>
      </c>
      <c r="E679">
        <v>44</v>
      </c>
      <c r="F679" s="10" t="str">
        <f>IF(final_data[[#This Row],[Total_applicants]]=0,"unknown","-")</f>
        <v>-</v>
      </c>
      <c r="G679" s="5">
        <v>793022</v>
      </c>
      <c r="H679" s="1" t="s">
        <v>43</v>
      </c>
      <c r="I679" s="1" t="s">
        <v>466</v>
      </c>
      <c r="J679">
        <v>5000</v>
      </c>
      <c r="K679" s="1" t="s">
        <v>469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1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1</v>
      </c>
    </row>
    <row r="680" spans="1:42" x14ac:dyDescent="0.25">
      <c r="A680" s="1" t="s">
        <v>362</v>
      </c>
      <c r="B680" s="1" t="s">
        <v>288</v>
      </c>
      <c r="C680" s="1" t="s">
        <v>364</v>
      </c>
      <c r="D680" s="1" t="s">
        <v>451</v>
      </c>
      <c r="E680">
        <v>28</v>
      </c>
      <c r="F680" s="10" t="str">
        <f>IF(final_data[[#This Row],[Total_applicants]]=0,"unknown","-")</f>
        <v>-</v>
      </c>
      <c r="G680" s="5">
        <v>793022</v>
      </c>
      <c r="H680" s="1" t="s">
        <v>43</v>
      </c>
      <c r="I680" s="1" t="s">
        <v>466</v>
      </c>
      <c r="J680">
        <v>5000</v>
      </c>
      <c r="K680" s="1" t="s">
        <v>469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1</v>
      </c>
    </row>
    <row r="681" spans="1:42" x14ac:dyDescent="0.25">
      <c r="A681" s="1" t="s">
        <v>362</v>
      </c>
      <c r="B681" s="1" t="s">
        <v>288</v>
      </c>
      <c r="C681" s="1" t="s">
        <v>364</v>
      </c>
      <c r="D681" s="1" t="s">
        <v>454</v>
      </c>
      <c r="E681">
        <v>27</v>
      </c>
      <c r="F681" s="10" t="str">
        <f>IF(final_data[[#This Row],[Total_applicants]]=0,"unknown","-")</f>
        <v>-</v>
      </c>
      <c r="G681" s="5">
        <v>793022</v>
      </c>
      <c r="H681" s="1" t="s">
        <v>43</v>
      </c>
      <c r="I681" s="1" t="s">
        <v>466</v>
      </c>
      <c r="J681">
        <v>5000</v>
      </c>
      <c r="K681" s="1" t="s">
        <v>469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1</v>
      </c>
    </row>
    <row r="682" spans="1:42" x14ac:dyDescent="0.25">
      <c r="A682" s="1" t="s">
        <v>362</v>
      </c>
      <c r="B682" s="1" t="s">
        <v>288</v>
      </c>
      <c r="C682" s="1" t="s">
        <v>367</v>
      </c>
      <c r="D682" s="1" t="s">
        <v>462</v>
      </c>
      <c r="E682">
        <v>36</v>
      </c>
      <c r="F682" s="10" t="str">
        <f>IF(final_data[[#This Row],[Total_applicants]]=0,"unknown","-")</f>
        <v>-</v>
      </c>
      <c r="G682" s="5">
        <v>793022</v>
      </c>
      <c r="H682" s="1" t="s">
        <v>43</v>
      </c>
      <c r="I682" s="1" t="s">
        <v>466</v>
      </c>
      <c r="J682">
        <v>5000</v>
      </c>
      <c r="K682" s="1" t="s">
        <v>469</v>
      </c>
      <c r="L682">
        <v>1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1</v>
      </c>
    </row>
    <row r="683" spans="1:42" x14ac:dyDescent="0.25">
      <c r="A683" s="1" t="s">
        <v>362</v>
      </c>
      <c r="B683" s="1" t="s">
        <v>288</v>
      </c>
      <c r="C683" s="1" t="s">
        <v>368</v>
      </c>
      <c r="D683" s="1" t="s">
        <v>461</v>
      </c>
      <c r="E683">
        <v>18</v>
      </c>
      <c r="F683" s="10" t="str">
        <f>IF(final_data[[#This Row],[Total_applicants]]=0,"unknown","-")</f>
        <v>-</v>
      </c>
      <c r="G683" s="5">
        <v>793022</v>
      </c>
      <c r="H683" s="1" t="s">
        <v>43</v>
      </c>
      <c r="I683" s="1" t="s">
        <v>466</v>
      </c>
      <c r="J683">
        <v>5000</v>
      </c>
      <c r="K683" s="1" t="s">
        <v>469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</row>
    <row r="684" spans="1:42" x14ac:dyDescent="0.25">
      <c r="A684" s="1" t="s">
        <v>362</v>
      </c>
      <c r="B684" s="1" t="s">
        <v>288</v>
      </c>
      <c r="C684" s="1" t="s">
        <v>369</v>
      </c>
      <c r="D684" s="1" t="s">
        <v>453</v>
      </c>
      <c r="E684">
        <v>4</v>
      </c>
      <c r="F684" s="10" t="str">
        <f>IF(final_data[[#This Row],[Total_applicants]]=0,"unknown","-")</f>
        <v>-</v>
      </c>
      <c r="G684" s="5">
        <v>793022</v>
      </c>
      <c r="H684" s="1" t="s">
        <v>43</v>
      </c>
      <c r="I684" s="1" t="s">
        <v>466</v>
      </c>
      <c r="J684">
        <v>5000</v>
      </c>
      <c r="K684" s="1" t="s">
        <v>469</v>
      </c>
      <c r="L684">
        <v>1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1</v>
      </c>
      <c r="AI684">
        <v>1</v>
      </c>
      <c r="AJ684">
        <v>0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 s="1" t="s">
        <v>362</v>
      </c>
      <c r="B685" s="1" t="s">
        <v>288</v>
      </c>
      <c r="C685" s="1" t="s">
        <v>367</v>
      </c>
      <c r="D685" s="1" t="s">
        <v>451</v>
      </c>
      <c r="E685">
        <v>75</v>
      </c>
      <c r="F685" s="10" t="str">
        <f>IF(final_data[[#This Row],[Total_applicants]]=0,"unknown","-")</f>
        <v>-</v>
      </c>
      <c r="G685" s="5">
        <v>793022</v>
      </c>
      <c r="H685" s="1" t="s">
        <v>43</v>
      </c>
      <c r="I685" s="1" t="s">
        <v>466</v>
      </c>
      <c r="J685">
        <v>5000</v>
      </c>
      <c r="K685" s="1" t="s">
        <v>469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1</v>
      </c>
    </row>
    <row r="686" spans="1:42" x14ac:dyDescent="0.25">
      <c r="A686" s="1" t="s">
        <v>362</v>
      </c>
      <c r="B686" s="1" t="s">
        <v>288</v>
      </c>
      <c r="C686" s="1" t="s">
        <v>370</v>
      </c>
      <c r="D686" s="1" t="s">
        <v>456</v>
      </c>
      <c r="E686">
        <v>53</v>
      </c>
      <c r="F686" s="10" t="str">
        <f>IF(final_data[[#This Row],[Total_applicants]]=0,"unknown","-")</f>
        <v>-</v>
      </c>
      <c r="G686" s="5">
        <v>793022</v>
      </c>
      <c r="H686" s="1" t="s">
        <v>43</v>
      </c>
      <c r="I686" s="1" t="s">
        <v>466</v>
      </c>
      <c r="J686">
        <v>5000</v>
      </c>
      <c r="K686" s="1" t="s">
        <v>469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 s="1" t="s">
        <v>362</v>
      </c>
      <c r="B687" s="1" t="s">
        <v>288</v>
      </c>
      <c r="C687" s="1" t="s">
        <v>371</v>
      </c>
      <c r="D687" s="1" t="s">
        <v>449</v>
      </c>
      <c r="E687">
        <v>7</v>
      </c>
      <c r="F687" s="10" t="str">
        <f>IF(final_data[[#This Row],[Total_applicants]]=0,"unknown","-")</f>
        <v>-</v>
      </c>
      <c r="G687" s="5">
        <v>793022</v>
      </c>
      <c r="H687" s="1" t="s">
        <v>43</v>
      </c>
      <c r="I687" s="1" t="s">
        <v>466</v>
      </c>
      <c r="J687">
        <v>5000</v>
      </c>
      <c r="K687" s="1" t="s">
        <v>469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1</v>
      </c>
    </row>
    <row r="688" spans="1:42" x14ac:dyDescent="0.25">
      <c r="A688" s="1" t="s">
        <v>362</v>
      </c>
      <c r="B688" s="1" t="s">
        <v>288</v>
      </c>
      <c r="C688" s="1" t="s">
        <v>372</v>
      </c>
      <c r="D688" s="1" t="s">
        <v>454</v>
      </c>
      <c r="E688">
        <v>66</v>
      </c>
      <c r="F688" s="10" t="str">
        <f>IF(final_data[[#This Row],[Total_applicants]]=0,"unknown","-")</f>
        <v>-</v>
      </c>
      <c r="G688" s="5">
        <v>793022</v>
      </c>
      <c r="H688" s="1" t="s">
        <v>43</v>
      </c>
      <c r="I688" s="1" t="s">
        <v>466</v>
      </c>
      <c r="J688">
        <v>5000</v>
      </c>
      <c r="K688" s="1" t="s">
        <v>469</v>
      </c>
      <c r="L688">
        <v>1</v>
      </c>
      <c r="M688">
        <v>0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1</v>
      </c>
    </row>
    <row r="689" spans="1:42" x14ac:dyDescent="0.25">
      <c r="A689" s="1" t="s">
        <v>362</v>
      </c>
      <c r="B689" s="1" t="s">
        <v>288</v>
      </c>
      <c r="C689" s="1" t="s">
        <v>372</v>
      </c>
      <c r="D689" s="1" t="s">
        <v>453</v>
      </c>
      <c r="E689">
        <v>24</v>
      </c>
      <c r="F689" s="10" t="str">
        <f>IF(final_data[[#This Row],[Total_applicants]]=0,"unknown","-")</f>
        <v>-</v>
      </c>
      <c r="G689" s="5">
        <v>793022</v>
      </c>
      <c r="H689" s="1" t="s">
        <v>43</v>
      </c>
      <c r="I689" s="1" t="s">
        <v>466</v>
      </c>
      <c r="J689">
        <v>5000</v>
      </c>
      <c r="K689" s="1" t="s">
        <v>469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1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1</v>
      </c>
    </row>
    <row r="690" spans="1:42" x14ac:dyDescent="0.25">
      <c r="A690" s="1" t="s">
        <v>362</v>
      </c>
      <c r="B690" s="1" t="s">
        <v>288</v>
      </c>
      <c r="C690" s="1" t="s">
        <v>261</v>
      </c>
      <c r="D690" s="1" t="s">
        <v>453</v>
      </c>
      <c r="E690">
        <v>5</v>
      </c>
      <c r="F690" s="10" t="str">
        <f>IF(final_data[[#This Row],[Total_applicants]]=0,"unknown","-")</f>
        <v>-</v>
      </c>
      <c r="G690" s="5">
        <v>793022</v>
      </c>
      <c r="H690" s="1" t="s">
        <v>43</v>
      </c>
      <c r="I690" s="1" t="s">
        <v>466</v>
      </c>
      <c r="J690">
        <v>5000</v>
      </c>
      <c r="K690" s="1" t="s">
        <v>469</v>
      </c>
      <c r="L690">
        <v>1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1</v>
      </c>
      <c r="AG690">
        <v>0</v>
      </c>
      <c r="AH690">
        <v>1</v>
      </c>
      <c r="AI690">
        <v>1</v>
      </c>
      <c r="AJ690">
        <v>0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 s="1" t="s">
        <v>362</v>
      </c>
      <c r="B691" s="1" t="s">
        <v>288</v>
      </c>
      <c r="C691" s="1" t="s">
        <v>372</v>
      </c>
      <c r="D691" s="1" t="s">
        <v>452</v>
      </c>
      <c r="E691">
        <v>112</v>
      </c>
      <c r="F691" s="10" t="str">
        <f>IF(final_data[[#This Row],[Total_applicants]]=0,"unknown","-")</f>
        <v>-</v>
      </c>
      <c r="G691" s="5">
        <v>793022</v>
      </c>
      <c r="H691" s="1" t="s">
        <v>43</v>
      </c>
      <c r="I691" s="1" t="s">
        <v>466</v>
      </c>
      <c r="J691">
        <v>5000</v>
      </c>
      <c r="K691" s="1" t="s">
        <v>469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0</v>
      </c>
      <c r="AH691">
        <v>1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1</v>
      </c>
    </row>
    <row r="692" spans="1:42" x14ac:dyDescent="0.25">
      <c r="A692" s="1" t="s">
        <v>362</v>
      </c>
      <c r="B692" s="1" t="s">
        <v>288</v>
      </c>
      <c r="C692" s="1" t="s">
        <v>366</v>
      </c>
      <c r="D692" s="1" t="s">
        <v>454</v>
      </c>
      <c r="E692">
        <v>35</v>
      </c>
      <c r="F692" s="10" t="str">
        <f>IF(final_data[[#This Row],[Total_applicants]]=0,"unknown","-")</f>
        <v>-</v>
      </c>
      <c r="G692" s="5">
        <v>793022</v>
      </c>
      <c r="H692" s="1" t="s">
        <v>43</v>
      </c>
      <c r="I692" s="1" t="s">
        <v>466</v>
      </c>
      <c r="J692">
        <v>5000</v>
      </c>
      <c r="K692" s="1" t="s">
        <v>469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1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1</v>
      </c>
    </row>
    <row r="693" spans="1:42" x14ac:dyDescent="0.25">
      <c r="A693" s="1" t="s">
        <v>362</v>
      </c>
      <c r="B693" s="1" t="s">
        <v>288</v>
      </c>
      <c r="C693" s="1" t="s">
        <v>373</v>
      </c>
      <c r="D693" s="1" t="s">
        <v>449</v>
      </c>
      <c r="E693">
        <v>35</v>
      </c>
      <c r="F693" s="10" t="str">
        <f>IF(final_data[[#This Row],[Total_applicants]]=0,"unknown","-")</f>
        <v>-</v>
      </c>
      <c r="G693" s="5">
        <v>793022</v>
      </c>
      <c r="H693" s="1" t="s">
        <v>43</v>
      </c>
      <c r="I693" s="1" t="s">
        <v>466</v>
      </c>
      <c r="J693">
        <v>5000</v>
      </c>
      <c r="K693" s="1" t="s">
        <v>469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 s="1" t="s">
        <v>362</v>
      </c>
      <c r="B694" s="1" t="s">
        <v>288</v>
      </c>
      <c r="C694" s="1" t="s">
        <v>374</v>
      </c>
      <c r="D694" s="1" t="s">
        <v>452</v>
      </c>
      <c r="E694">
        <v>20</v>
      </c>
      <c r="F694" s="10" t="str">
        <f>IF(final_data[[#This Row],[Total_applicants]]=0,"unknown","-")</f>
        <v>-</v>
      </c>
      <c r="G694" s="5">
        <v>793022</v>
      </c>
      <c r="H694" s="1" t="s">
        <v>43</v>
      </c>
      <c r="I694" s="1" t="s">
        <v>466</v>
      </c>
      <c r="J694">
        <v>5000</v>
      </c>
      <c r="K694" s="1" t="s">
        <v>469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 s="1" t="s">
        <v>362</v>
      </c>
      <c r="B695" s="1" t="s">
        <v>288</v>
      </c>
      <c r="C695" s="1" t="s">
        <v>365</v>
      </c>
      <c r="D695" s="1" t="s">
        <v>461</v>
      </c>
      <c r="E695">
        <v>38</v>
      </c>
      <c r="F695" s="10" t="str">
        <f>IF(final_data[[#This Row],[Total_applicants]]=0,"unknown","-")</f>
        <v>-</v>
      </c>
      <c r="G695" s="5">
        <v>793022</v>
      </c>
      <c r="H695" s="1" t="s">
        <v>43</v>
      </c>
      <c r="I695" s="1" t="s">
        <v>466</v>
      </c>
      <c r="J695">
        <v>5000</v>
      </c>
      <c r="K695" s="1" t="s">
        <v>469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1</v>
      </c>
    </row>
    <row r="696" spans="1:42" x14ac:dyDescent="0.25">
      <c r="A696" s="1" t="s">
        <v>362</v>
      </c>
      <c r="B696" s="1" t="s">
        <v>288</v>
      </c>
      <c r="C696" s="1" t="s">
        <v>241</v>
      </c>
      <c r="D696" s="1" t="s">
        <v>451</v>
      </c>
      <c r="E696">
        <v>1</v>
      </c>
      <c r="F696" s="10" t="str">
        <f>IF(final_data[[#This Row],[Total_applicants]]=0,"unknown","-")</f>
        <v>-</v>
      </c>
      <c r="G696" s="5">
        <v>793022</v>
      </c>
      <c r="H696" s="1" t="s">
        <v>43</v>
      </c>
      <c r="I696" s="1" t="s">
        <v>466</v>
      </c>
      <c r="J696">
        <v>5000</v>
      </c>
      <c r="K696" s="1" t="s">
        <v>469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 s="1" t="s">
        <v>362</v>
      </c>
      <c r="B697" s="1" t="s">
        <v>288</v>
      </c>
      <c r="C697" s="1" t="s">
        <v>373</v>
      </c>
      <c r="D697" s="1" t="s">
        <v>454</v>
      </c>
      <c r="E697">
        <v>11</v>
      </c>
      <c r="F697" s="10" t="str">
        <f>IF(final_data[[#This Row],[Total_applicants]]=0,"unknown","-")</f>
        <v>-</v>
      </c>
      <c r="G697" s="5">
        <v>793022</v>
      </c>
      <c r="H697" s="1" t="s">
        <v>43</v>
      </c>
      <c r="I697" s="1" t="s">
        <v>466</v>
      </c>
      <c r="J697">
        <v>5000</v>
      </c>
      <c r="K697" s="1" t="s">
        <v>469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 s="1" t="s">
        <v>362</v>
      </c>
      <c r="B698" s="1" t="s">
        <v>288</v>
      </c>
      <c r="C698" s="1" t="s">
        <v>375</v>
      </c>
      <c r="D698" s="1" t="s">
        <v>462</v>
      </c>
      <c r="E698">
        <v>16</v>
      </c>
      <c r="F698" s="10" t="str">
        <f>IF(final_data[[#This Row],[Total_applicants]]=0,"unknown","-")</f>
        <v>-</v>
      </c>
      <c r="G698" s="5">
        <v>793022</v>
      </c>
      <c r="H698" s="1" t="s">
        <v>43</v>
      </c>
      <c r="I698" s="1" t="s">
        <v>466</v>
      </c>
      <c r="J698">
        <v>5000</v>
      </c>
      <c r="K698" s="1" t="s">
        <v>469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 s="1" t="s">
        <v>362</v>
      </c>
      <c r="B699" s="1" t="s">
        <v>288</v>
      </c>
      <c r="C699" s="1" t="s">
        <v>373</v>
      </c>
      <c r="D699" s="1" t="s">
        <v>450</v>
      </c>
      <c r="E699">
        <v>32</v>
      </c>
      <c r="F699" s="10" t="str">
        <f>IF(final_data[[#This Row],[Total_applicants]]=0,"unknown","-")</f>
        <v>-</v>
      </c>
      <c r="G699" s="5">
        <v>793022</v>
      </c>
      <c r="H699" s="1" t="s">
        <v>43</v>
      </c>
      <c r="I699" s="1" t="s">
        <v>466</v>
      </c>
      <c r="J699">
        <v>5000</v>
      </c>
      <c r="K699" s="1" t="s">
        <v>469</v>
      </c>
      <c r="L699">
        <v>1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 s="1" t="s">
        <v>362</v>
      </c>
      <c r="B700" s="1" t="s">
        <v>288</v>
      </c>
      <c r="C700" s="1" t="s">
        <v>376</v>
      </c>
      <c r="D700" s="1" t="s">
        <v>458</v>
      </c>
      <c r="E700">
        <v>21</v>
      </c>
      <c r="F700" s="10" t="str">
        <f>IF(final_data[[#This Row],[Total_applicants]]=0,"unknown","-")</f>
        <v>-</v>
      </c>
      <c r="G700" s="5">
        <v>793022</v>
      </c>
      <c r="H700" s="1" t="s">
        <v>43</v>
      </c>
      <c r="I700" s="1" t="s">
        <v>466</v>
      </c>
      <c r="J700">
        <v>5000</v>
      </c>
      <c r="K700" s="1" t="s">
        <v>469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 s="1" t="s">
        <v>362</v>
      </c>
      <c r="B701" s="1" t="s">
        <v>288</v>
      </c>
      <c r="C701" s="1" t="s">
        <v>377</v>
      </c>
      <c r="D701" s="1" t="s">
        <v>449</v>
      </c>
      <c r="E701">
        <v>112</v>
      </c>
      <c r="F701" s="10" t="str">
        <f>IF(final_data[[#This Row],[Total_applicants]]=0,"unknown","-")</f>
        <v>-</v>
      </c>
      <c r="G701" s="5">
        <v>793022</v>
      </c>
      <c r="H701" s="1" t="s">
        <v>43</v>
      </c>
      <c r="I701" s="1" t="s">
        <v>466</v>
      </c>
      <c r="J701">
        <v>5000</v>
      </c>
      <c r="K701" s="1" t="s">
        <v>469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</v>
      </c>
      <c r="AJ701">
        <v>1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 s="1" t="s">
        <v>362</v>
      </c>
      <c r="B702" s="1" t="s">
        <v>288</v>
      </c>
      <c r="C702" s="1" t="s">
        <v>378</v>
      </c>
      <c r="D702" s="1" t="s">
        <v>452</v>
      </c>
      <c r="E702">
        <v>28</v>
      </c>
      <c r="F702" s="10" t="str">
        <f>IF(final_data[[#This Row],[Total_applicants]]=0,"unknown","-")</f>
        <v>-</v>
      </c>
      <c r="G702" s="5">
        <v>793022</v>
      </c>
      <c r="H702" s="1" t="s">
        <v>43</v>
      </c>
      <c r="I702" s="1" t="s">
        <v>466</v>
      </c>
      <c r="J702">
        <v>5000</v>
      </c>
      <c r="K702" s="1" t="s">
        <v>469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1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 s="1" t="s">
        <v>362</v>
      </c>
      <c r="B703" s="1" t="s">
        <v>288</v>
      </c>
      <c r="C703" s="1" t="s">
        <v>373</v>
      </c>
      <c r="D703" s="1" t="s">
        <v>452</v>
      </c>
      <c r="E703">
        <v>13</v>
      </c>
      <c r="F703" s="10" t="str">
        <f>IF(final_data[[#This Row],[Total_applicants]]=0,"unknown","-")</f>
        <v>-</v>
      </c>
      <c r="G703" s="5">
        <v>793022</v>
      </c>
      <c r="H703" s="1" t="s">
        <v>43</v>
      </c>
      <c r="I703" s="1" t="s">
        <v>466</v>
      </c>
      <c r="J703">
        <v>5000</v>
      </c>
      <c r="K703" s="1" t="s">
        <v>469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 s="1" t="s">
        <v>362</v>
      </c>
      <c r="B704" s="1" t="s">
        <v>288</v>
      </c>
      <c r="C704" s="1" t="s">
        <v>377</v>
      </c>
      <c r="D704" s="1" t="s">
        <v>449</v>
      </c>
      <c r="E704">
        <v>74</v>
      </c>
      <c r="F704" s="10" t="str">
        <f>IF(final_data[[#This Row],[Total_applicants]]=0,"unknown","-")</f>
        <v>-</v>
      </c>
      <c r="G704" s="5">
        <v>793022</v>
      </c>
      <c r="H704" s="1" t="s">
        <v>43</v>
      </c>
      <c r="I704" s="1" t="s">
        <v>466</v>
      </c>
      <c r="J704">
        <v>5000</v>
      </c>
      <c r="K704" s="1" t="s">
        <v>469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</v>
      </c>
      <c r="AJ704">
        <v>1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 s="1" t="s">
        <v>362</v>
      </c>
      <c r="B705" s="1" t="s">
        <v>288</v>
      </c>
      <c r="C705" s="1" t="s">
        <v>373</v>
      </c>
      <c r="D705" s="1" t="s">
        <v>451</v>
      </c>
      <c r="E705">
        <v>64</v>
      </c>
      <c r="F705" s="10" t="str">
        <f>IF(final_data[[#This Row],[Total_applicants]]=0,"unknown","-")</f>
        <v>-</v>
      </c>
      <c r="G705" s="5">
        <v>793022</v>
      </c>
      <c r="H705" s="1" t="s">
        <v>43</v>
      </c>
      <c r="I705" s="1" t="s">
        <v>466</v>
      </c>
      <c r="J705">
        <v>5000</v>
      </c>
      <c r="K705" s="1" t="s">
        <v>469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 s="1" t="s">
        <v>362</v>
      </c>
      <c r="B706" s="1" t="s">
        <v>288</v>
      </c>
      <c r="C706" s="1" t="s">
        <v>379</v>
      </c>
      <c r="D706" s="1" t="s">
        <v>451</v>
      </c>
      <c r="E706">
        <v>2</v>
      </c>
      <c r="F706" s="10" t="str">
        <f>IF(final_data[[#This Row],[Total_applicants]]=0,"unknown","-")</f>
        <v>-</v>
      </c>
      <c r="G706" s="5">
        <v>793022</v>
      </c>
      <c r="H706" s="1" t="s">
        <v>43</v>
      </c>
      <c r="I706" s="1" t="s">
        <v>466</v>
      </c>
      <c r="J706">
        <v>5000</v>
      </c>
      <c r="K706" s="1" t="s">
        <v>469</v>
      </c>
      <c r="L706">
        <v>1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 s="1" t="s">
        <v>362</v>
      </c>
      <c r="B707" s="1" t="s">
        <v>288</v>
      </c>
      <c r="C707" s="1" t="s">
        <v>380</v>
      </c>
      <c r="D707" s="1" t="s">
        <v>462</v>
      </c>
      <c r="E707">
        <v>12</v>
      </c>
      <c r="F707" s="10" t="str">
        <f>IF(final_data[[#This Row],[Total_applicants]]=0,"unknown","-")</f>
        <v>-</v>
      </c>
      <c r="G707" s="5">
        <v>793022</v>
      </c>
      <c r="H707" s="1" t="s">
        <v>43</v>
      </c>
      <c r="I707" s="1" t="s">
        <v>466</v>
      </c>
      <c r="J707">
        <v>5000</v>
      </c>
      <c r="K707" s="1" t="s">
        <v>469</v>
      </c>
      <c r="L707">
        <v>1</v>
      </c>
      <c r="M707">
        <v>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</row>
    <row r="708" spans="1:42" x14ac:dyDescent="0.25">
      <c r="A708" s="1" t="s">
        <v>362</v>
      </c>
      <c r="B708" s="1" t="s">
        <v>288</v>
      </c>
      <c r="C708" s="1" t="s">
        <v>375</v>
      </c>
      <c r="D708" s="1" t="s">
        <v>451</v>
      </c>
      <c r="E708">
        <v>27</v>
      </c>
      <c r="F708" s="10" t="str">
        <f>IF(final_data[[#This Row],[Total_applicants]]=0,"unknown","-")</f>
        <v>-</v>
      </c>
      <c r="G708" s="5">
        <v>793022</v>
      </c>
      <c r="H708" s="1" t="s">
        <v>43</v>
      </c>
      <c r="I708" s="1" t="s">
        <v>466</v>
      </c>
      <c r="J708">
        <v>5000</v>
      </c>
      <c r="K708" s="1" t="s">
        <v>469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 s="1" t="s">
        <v>362</v>
      </c>
      <c r="B709" s="1" t="s">
        <v>288</v>
      </c>
      <c r="C709" s="1" t="s">
        <v>381</v>
      </c>
      <c r="D709" s="1" t="s">
        <v>461</v>
      </c>
      <c r="E709">
        <v>166</v>
      </c>
      <c r="F709" s="10" t="str">
        <f>IF(final_data[[#This Row],[Total_applicants]]=0,"unknown","-")</f>
        <v>-</v>
      </c>
      <c r="G709" s="5">
        <v>793022</v>
      </c>
      <c r="H709" s="1" t="s">
        <v>43</v>
      </c>
      <c r="I709" s="1" t="s">
        <v>466</v>
      </c>
      <c r="J709">
        <v>5000</v>
      </c>
      <c r="K709" s="1" t="s">
        <v>469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1</v>
      </c>
      <c r="AP709">
        <v>1</v>
      </c>
    </row>
    <row r="710" spans="1:42" x14ac:dyDescent="0.25">
      <c r="A710" s="1" t="s">
        <v>362</v>
      </c>
      <c r="B710" s="1" t="s">
        <v>288</v>
      </c>
      <c r="C710" s="1" t="s">
        <v>382</v>
      </c>
      <c r="D710" s="1" t="s">
        <v>454</v>
      </c>
      <c r="E710">
        <v>1</v>
      </c>
      <c r="F710" s="10" t="str">
        <f>IF(final_data[[#This Row],[Total_applicants]]=0,"unknown","-")</f>
        <v>-</v>
      </c>
      <c r="G710" s="5">
        <v>793022</v>
      </c>
      <c r="H710" s="1" t="s">
        <v>43</v>
      </c>
      <c r="I710" s="1" t="s">
        <v>466</v>
      </c>
      <c r="J710">
        <v>5000</v>
      </c>
      <c r="K710" s="1" t="s">
        <v>469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 s="1" t="s">
        <v>362</v>
      </c>
      <c r="B711" s="1" t="s">
        <v>288</v>
      </c>
      <c r="C711" s="1" t="s">
        <v>118</v>
      </c>
      <c r="D711" s="1" t="s">
        <v>452</v>
      </c>
      <c r="E711">
        <v>65</v>
      </c>
      <c r="F711" s="10" t="str">
        <f>IF(final_data[[#This Row],[Total_applicants]]=0,"unknown","-")</f>
        <v>-</v>
      </c>
      <c r="G711" s="5">
        <v>793022</v>
      </c>
      <c r="H711" s="1" t="s">
        <v>43</v>
      </c>
      <c r="I711" s="1" t="s">
        <v>466</v>
      </c>
      <c r="J711">
        <v>5000</v>
      </c>
      <c r="K711" s="1" t="s">
        <v>469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 s="1" t="s">
        <v>362</v>
      </c>
      <c r="B712" s="1" t="s">
        <v>288</v>
      </c>
      <c r="C712" s="1" t="s">
        <v>383</v>
      </c>
      <c r="D712" s="1" t="s">
        <v>451</v>
      </c>
      <c r="E712">
        <v>50</v>
      </c>
      <c r="F712" s="10" t="str">
        <f>IF(final_data[[#This Row],[Total_applicants]]=0,"unknown","-")</f>
        <v>-</v>
      </c>
      <c r="G712" s="5">
        <v>793022</v>
      </c>
      <c r="H712" s="1" t="s">
        <v>43</v>
      </c>
      <c r="I712" s="1" t="s">
        <v>466</v>
      </c>
      <c r="J712">
        <v>5000</v>
      </c>
      <c r="K712" s="1" t="s">
        <v>469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 s="1" t="s">
        <v>362</v>
      </c>
      <c r="B713" s="1" t="s">
        <v>288</v>
      </c>
      <c r="C713" s="1" t="s">
        <v>384</v>
      </c>
      <c r="D713" s="1" t="s">
        <v>451</v>
      </c>
      <c r="E713">
        <v>23</v>
      </c>
      <c r="F713" s="10" t="str">
        <f>IF(final_data[[#This Row],[Total_applicants]]=0,"unknown","-")</f>
        <v>-</v>
      </c>
      <c r="G713" s="5">
        <v>793022</v>
      </c>
      <c r="H713" s="1" t="s">
        <v>43</v>
      </c>
      <c r="I713" s="1" t="s">
        <v>466</v>
      </c>
      <c r="J713">
        <v>5000</v>
      </c>
      <c r="K713" s="1" t="s">
        <v>469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 s="1" t="s">
        <v>362</v>
      </c>
      <c r="B714" s="1" t="s">
        <v>288</v>
      </c>
      <c r="C714" s="1" t="s">
        <v>385</v>
      </c>
      <c r="D714" s="1" t="s">
        <v>462</v>
      </c>
      <c r="E714">
        <v>38</v>
      </c>
      <c r="F714" s="10" t="str">
        <f>IF(final_data[[#This Row],[Total_applicants]]=0,"unknown","-")</f>
        <v>-</v>
      </c>
      <c r="G714" s="5">
        <v>793022</v>
      </c>
      <c r="H714" s="1" t="s">
        <v>43</v>
      </c>
      <c r="I714" s="1" t="s">
        <v>466</v>
      </c>
      <c r="J714">
        <v>5000</v>
      </c>
      <c r="K714" s="1" t="s">
        <v>469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1</v>
      </c>
    </row>
    <row r="715" spans="1:42" x14ac:dyDescent="0.25">
      <c r="A715" s="1" t="s">
        <v>362</v>
      </c>
      <c r="B715" s="1" t="s">
        <v>288</v>
      </c>
      <c r="C715" s="1" t="s">
        <v>386</v>
      </c>
      <c r="D715" s="1" t="s">
        <v>458</v>
      </c>
      <c r="E715">
        <v>20</v>
      </c>
      <c r="F715" s="10" t="str">
        <f>IF(final_data[[#This Row],[Total_applicants]]=0,"unknown","-")</f>
        <v>-</v>
      </c>
      <c r="G715" s="5">
        <v>793022</v>
      </c>
      <c r="H715" s="1" t="s">
        <v>43</v>
      </c>
      <c r="I715" s="1" t="s">
        <v>466</v>
      </c>
      <c r="J715">
        <v>5000</v>
      </c>
      <c r="K715" s="1" t="s">
        <v>469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1</v>
      </c>
    </row>
    <row r="716" spans="1:42" x14ac:dyDescent="0.25">
      <c r="A716" s="1" t="s">
        <v>362</v>
      </c>
      <c r="B716" s="1" t="s">
        <v>288</v>
      </c>
      <c r="C716" s="1" t="s">
        <v>387</v>
      </c>
      <c r="D716" s="1" t="s">
        <v>452</v>
      </c>
      <c r="E716">
        <v>10</v>
      </c>
      <c r="F716" s="10" t="str">
        <f>IF(final_data[[#This Row],[Total_applicants]]=0,"unknown","-")</f>
        <v>-</v>
      </c>
      <c r="G716" s="5">
        <v>793022</v>
      </c>
      <c r="H716" s="1" t="s">
        <v>43</v>
      </c>
      <c r="I716" s="1" t="s">
        <v>466</v>
      </c>
      <c r="J716">
        <v>5000</v>
      </c>
      <c r="K716" s="1" t="s">
        <v>469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 s="1" t="s">
        <v>362</v>
      </c>
      <c r="B717" s="1" t="s">
        <v>288</v>
      </c>
      <c r="C717" s="1" t="s">
        <v>377</v>
      </c>
      <c r="D717" s="1" t="s">
        <v>454</v>
      </c>
      <c r="E717">
        <v>48</v>
      </c>
      <c r="F717" s="10" t="str">
        <f>IF(final_data[[#This Row],[Total_applicants]]=0,"unknown","-")</f>
        <v>-</v>
      </c>
      <c r="G717" s="5">
        <v>793022</v>
      </c>
      <c r="H717" s="1" t="s">
        <v>43</v>
      </c>
      <c r="I717" s="1" t="s">
        <v>466</v>
      </c>
      <c r="J717">
        <v>5000</v>
      </c>
      <c r="K717" s="1" t="s">
        <v>469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1</v>
      </c>
      <c r="AJ717">
        <v>1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 s="1" t="s">
        <v>362</v>
      </c>
      <c r="B718" s="1" t="s">
        <v>288</v>
      </c>
      <c r="C718" s="1" t="s">
        <v>387</v>
      </c>
      <c r="D718" s="1" t="s">
        <v>456</v>
      </c>
      <c r="E718">
        <v>15</v>
      </c>
      <c r="F718" s="10" t="str">
        <f>IF(final_data[[#This Row],[Total_applicants]]=0,"unknown","-")</f>
        <v>-</v>
      </c>
      <c r="G718" s="5">
        <v>793022</v>
      </c>
      <c r="H718" s="1" t="s">
        <v>43</v>
      </c>
      <c r="I718" s="1" t="s">
        <v>466</v>
      </c>
      <c r="J718">
        <v>5000</v>
      </c>
      <c r="K718" s="1" t="s">
        <v>469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 s="1" t="s">
        <v>362</v>
      </c>
      <c r="B719" s="1" t="s">
        <v>288</v>
      </c>
      <c r="C719" s="1" t="s">
        <v>388</v>
      </c>
      <c r="D719" s="1" t="s">
        <v>452</v>
      </c>
      <c r="E719">
        <v>44</v>
      </c>
      <c r="F719" s="10" t="str">
        <f>IF(final_data[[#This Row],[Total_applicants]]=0,"unknown","-")</f>
        <v>-</v>
      </c>
      <c r="G719" s="5">
        <v>793022</v>
      </c>
      <c r="H719" s="1" t="s">
        <v>43</v>
      </c>
      <c r="I719" s="1" t="s">
        <v>466</v>
      </c>
      <c r="J719">
        <v>5000</v>
      </c>
      <c r="K719" s="1" t="s">
        <v>469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 s="1" t="s">
        <v>362</v>
      </c>
      <c r="B720" s="1" t="s">
        <v>288</v>
      </c>
      <c r="C720" s="1" t="s">
        <v>389</v>
      </c>
      <c r="D720" s="1" t="s">
        <v>463</v>
      </c>
      <c r="E720">
        <v>68</v>
      </c>
      <c r="F720" s="10" t="str">
        <f>IF(final_data[[#This Row],[Total_applicants]]=0,"unknown","-")</f>
        <v>-</v>
      </c>
      <c r="G720" s="5">
        <v>793022</v>
      </c>
      <c r="H720" s="1" t="s">
        <v>43</v>
      </c>
      <c r="I720" s="1" t="s">
        <v>466</v>
      </c>
      <c r="J720">
        <v>5000</v>
      </c>
      <c r="K720" s="1" t="s">
        <v>469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 s="1" t="s">
        <v>362</v>
      </c>
      <c r="B721" s="1" t="s">
        <v>288</v>
      </c>
      <c r="C721" s="1" t="s">
        <v>390</v>
      </c>
      <c r="D721" s="1" t="s">
        <v>453</v>
      </c>
      <c r="E721">
        <v>3</v>
      </c>
      <c r="F721" s="10" t="str">
        <f>IF(final_data[[#This Row],[Total_applicants]]=0,"unknown","-")</f>
        <v>-</v>
      </c>
      <c r="G721" s="5">
        <v>793022</v>
      </c>
      <c r="H721" s="1" t="s">
        <v>43</v>
      </c>
      <c r="I721" s="1" t="s">
        <v>466</v>
      </c>
      <c r="J721">
        <v>5000</v>
      </c>
      <c r="K721" s="1" t="s">
        <v>469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 s="1" t="s">
        <v>362</v>
      </c>
      <c r="B722" s="1" t="s">
        <v>288</v>
      </c>
      <c r="C722" s="1" t="s">
        <v>391</v>
      </c>
      <c r="D722" s="1" t="s">
        <v>449</v>
      </c>
      <c r="E722">
        <v>30</v>
      </c>
      <c r="F722" s="10" t="str">
        <f>IF(final_data[[#This Row],[Total_applicants]]=0,"unknown","-")</f>
        <v>-</v>
      </c>
      <c r="G722" s="5">
        <v>793022</v>
      </c>
      <c r="H722" s="1" t="s">
        <v>43</v>
      </c>
      <c r="I722" s="1" t="s">
        <v>466</v>
      </c>
      <c r="J722">
        <v>5000</v>
      </c>
      <c r="K722" s="1" t="s">
        <v>469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1</v>
      </c>
    </row>
    <row r="723" spans="1:42" x14ac:dyDescent="0.25">
      <c r="A723" s="1" t="s">
        <v>362</v>
      </c>
      <c r="B723" s="1" t="s">
        <v>288</v>
      </c>
      <c r="C723" s="1" t="s">
        <v>370</v>
      </c>
      <c r="D723" s="1" t="s">
        <v>455</v>
      </c>
      <c r="E723">
        <v>47</v>
      </c>
      <c r="F723" s="10" t="str">
        <f>IF(final_data[[#This Row],[Total_applicants]]=0,"unknown","-")</f>
        <v>-</v>
      </c>
      <c r="G723" s="5">
        <v>793022</v>
      </c>
      <c r="H723" s="1" t="s">
        <v>43</v>
      </c>
      <c r="I723" s="1" t="s">
        <v>466</v>
      </c>
      <c r="J723">
        <v>5000</v>
      </c>
      <c r="K723" s="1" t="s">
        <v>469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 s="1" t="s">
        <v>362</v>
      </c>
      <c r="B724" s="1" t="s">
        <v>288</v>
      </c>
      <c r="C724" s="1" t="s">
        <v>376</v>
      </c>
      <c r="D724" s="1" t="s">
        <v>455</v>
      </c>
      <c r="E724">
        <v>18</v>
      </c>
      <c r="F724" s="10" t="str">
        <f>IF(final_data[[#This Row],[Total_applicants]]=0,"unknown","-")</f>
        <v>-</v>
      </c>
      <c r="G724" s="5">
        <v>793022</v>
      </c>
      <c r="H724" s="1" t="s">
        <v>43</v>
      </c>
      <c r="I724" s="1" t="s">
        <v>466</v>
      </c>
      <c r="J724">
        <v>5000</v>
      </c>
      <c r="K724" s="1" t="s">
        <v>469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 s="1" t="s">
        <v>362</v>
      </c>
      <c r="B725" s="1" t="s">
        <v>288</v>
      </c>
      <c r="C725" s="1" t="s">
        <v>390</v>
      </c>
      <c r="D725" s="1" t="s">
        <v>456</v>
      </c>
      <c r="E725">
        <v>2</v>
      </c>
      <c r="F725" s="10" t="str">
        <f>IF(final_data[[#This Row],[Total_applicants]]=0,"unknown","-")</f>
        <v>-</v>
      </c>
      <c r="G725" s="5">
        <v>793022</v>
      </c>
      <c r="H725" s="1" t="s">
        <v>43</v>
      </c>
      <c r="I725" s="1" t="s">
        <v>466</v>
      </c>
      <c r="J725">
        <v>5000</v>
      </c>
      <c r="K725" s="1" t="s">
        <v>469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 s="1" t="s">
        <v>362</v>
      </c>
      <c r="B726" s="1" t="s">
        <v>288</v>
      </c>
      <c r="C726" s="1" t="s">
        <v>392</v>
      </c>
      <c r="D726" s="1" t="s">
        <v>451</v>
      </c>
      <c r="E726">
        <v>4</v>
      </c>
      <c r="F726" s="10" t="str">
        <f>IF(final_data[[#This Row],[Total_applicants]]=0,"unknown","-")</f>
        <v>-</v>
      </c>
      <c r="G726" s="5">
        <v>793022</v>
      </c>
      <c r="H726" s="1" t="s">
        <v>43</v>
      </c>
      <c r="I726" s="1" t="s">
        <v>466</v>
      </c>
      <c r="J726">
        <v>5000</v>
      </c>
      <c r="K726" s="1" t="s">
        <v>469</v>
      </c>
      <c r="L726">
        <v>1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 s="1" t="s">
        <v>362</v>
      </c>
      <c r="B727" s="1" t="s">
        <v>288</v>
      </c>
      <c r="C727" s="1" t="s">
        <v>393</v>
      </c>
      <c r="D727" s="1" t="s">
        <v>453</v>
      </c>
      <c r="E727">
        <v>4</v>
      </c>
      <c r="F727" s="10" t="str">
        <f>IF(final_data[[#This Row],[Total_applicants]]=0,"unknown","-")</f>
        <v>-</v>
      </c>
      <c r="G727" s="5">
        <v>793022</v>
      </c>
      <c r="H727" s="1" t="s">
        <v>43</v>
      </c>
      <c r="I727" s="1" t="s">
        <v>466</v>
      </c>
      <c r="J727">
        <v>5000</v>
      </c>
      <c r="K727" s="1" t="s">
        <v>469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 s="1" t="s">
        <v>362</v>
      </c>
      <c r="B728" s="1" t="s">
        <v>288</v>
      </c>
      <c r="C728" s="1" t="s">
        <v>391</v>
      </c>
      <c r="D728" s="1" t="s">
        <v>463</v>
      </c>
      <c r="E728">
        <v>25</v>
      </c>
      <c r="F728" s="10" t="str">
        <f>IF(final_data[[#This Row],[Total_applicants]]=0,"unknown","-")</f>
        <v>-</v>
      </c>
      <c r="G728" s="5">
        <v>793022</v>
      </c>
      <c r="H728" s="1" t="s">
        <v>43</v>
      </c>
      <c r="I728" s="1" t="s">
        <v>466</v>
      </c>
      <c r="J728">
        <v>5000</v>
      </c>
      <c r="K728" s="1" t="s">
        <v>469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1</v>
      </c>
    </row>
    <row r="729" spans="1:42" x14ac:dyDescent="0.25">
      <c r="A729" s="1" t="s">
        <v>362</v>
      </c>
      <c r="B729" s="1" t="s">
        <v>288</v>
      </c>
      <c r="C729" s="1" t="s">
        <v>394</v>
      </c>
      <c r="D729" s="1" t="s">
        <v>452</v>
      </c>
      <c r="E729">
        <v>5</v>
      </c>
      <c r="F729" s="10" t="str">
        <f>IF(final_data[[#This Row],[Total_applicants]]=0,"unknown","-")</f>
        <v>-</v>
      </c>
      <c r="G729" s="5">
        <v>793022</v>
      </c>
      <c r="H729" s="1" t="s">
        <v>43</v>
      </c>
      <c r="I729" s="1" t="s">
        <v>466</v>
      </c>
      <c r="J729">
        <v>5000</v>
      </c>
      <c r="K729" s="1" t="s">
        <v>469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 s="1" t="s">
        <v>362</v>
      </c>
      <c r="B730" s="1" t="s">
        <v>288</v>
      </c>
      <c r="C730" s="1" t="s">
        <v>390</v>
      </c>
      <c r="D730" s="1" t="s">
        <v>462</v>
      </c>
      <c r="E730">
        <v>3</v>
      </c>
      <c r="F730" s="10" t="str">
        <f>IF(final_data[[#This Row],[Total_applicants]]=0,"unknown","-")</f>
        <v>-</v>
      </c>
      <c r="G730" s="5">
        <v>793022</v>
      </c>
      <c r="H730" s="1" t="s">
        <v>43</v>
      </c>
      <c r="I730" s="1" t="s">
        <v>466</v>
      </c>
      <c r="J730">
        <v>5000</v>
      </c>
      <c r="K730" s="1" t="s">
        <v>469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 s="1" t="s">
        <v>362</v>
      </c>
      <c r="B731" s="1" t="s">
        <v>288</v>
      </c>
      <c r="C731" s="1" t="s">
        <v>393</v>
      </c>
      <c r="D731" s="1" t="s">
        <v>454</v>
      </c>
      <c r="E731">
        <v>13</v>
      </c>
      <c r="F731" s="10" t="str">
        <f>IF(final_data[[#This Row],[Total_applicants]]=0,"unknown","-")</f>
        <v>-</v>
      </c>
      <c r="G731" s="5">
        <v>793022</v>
      </c>
      <c r="H731" s="1" t="s">
        <v>43</v>
      </c>
      <c r="I731" s="1" t="s">
        <v>466</v>
      </c>
      <c r="J731">
        <v>5000</v>
      </c>
      <c r="K731" s="1" t="s">
        <v>469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 s="1" t="s">
        <v>362</v>
      </c>
      <c r="B732" s="1" t="s">
        <v>288</v>
      </c>
      <c r="C732" s="1" t="s">
        <v>395</v>
      </c>
      <c r="D732" s="1" t="s">
        <v>463</v>
      </c>
      <c r="E732">
        <v>40</v>
      </c>
      <c r="F732" s="10" t="str">
        <f>IF(final_data[[#This Row],[Total_applicants]]=0,"unknown","-")</f>
        <v>-</v>
      </c>
      <c r="G732" s="5">
        <v>793022</v>
      </c>
      <c r="H732" s="1" t="s">
        <v>43</v>
      </c>
      <c r="I732" s="1" t="s">
        <v>466</v>
      </c>
      <c r="J732">
        <v>5000</v>
      </c>
      <c r="K732" s="1" t="s">
        <v>469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 s="1" t="s">
        <v>362</v>
      </c>
      <c r="B733" s="1" t="s">
        <v>288</v>
      </c>
      <c r="C733" s="1" t="s">
        <v>396</v>
      </c>
      <c r="D733" s="1" t="s">
        <v>452</v>
      </c>
      <c r="E733">
        <v>3</v>
      </c>
      <c r="F733" s="10" t="str">
        <f>IF(final_data[[#This Row],[Total_applicants]]=0,"unknown","-")</f>
        <v>-</v>
      </c>
      <c r="G733" s="5">
        <v>793022</v>
      </c>
      <c r="H733" s="1" t="s">
        <v>43</v>
      </c>
      <c r="I733" s="1" t="s">
        <v>466</v>
      </c>
      <c r="J733">
        <v>5000</v>
      </c>
      <c r="K733" s="1" t="s">
        <v>469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1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 s="1" t="s">
        <v>362</v>
      </c>
      <c r="B734" s="1" t="s">
        <v>288</v>
      </c>
      <c r="C734" s="1" t="s">
        <v>390</v>
      </c>
      <c r="D734" s="1" t="s">
        <v>451</v>
      </c>
      <c r="E734">
        <v>5</v>
      </c>
      <c r="F734" s="10" t="str">
        <f>IF(final_data[[#This Row],[Total_applicants]]=0,"unknown","-")</f>
        <v>-</v>
      </c>
      <c r="G734" s="5">
        <v>793022</v>
      </c>
      <c r="H734" s="1" t="s">
        <v>43</v>
      </c>
      <c r="I734" s="1" t="s">
        <v>466</v>
      </c>
      <c r="J734">
        <v>5000</v>
      </c>
      <c r="K734" s="1" t="s">
        <v>469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 s="1" t="s">
        <v>362</v>
      </c>
      <c r="B735" s="1" t="s">
        <v>288</v>
      </c>
      <c r="C735" s="1" t="s">
        <v>397</v>
      </c>
      <c r="D735" s="1" t="s">
        <v>461</v>
      </c>
      <c r="E735">
        <v>22</v>
      </c>
      <c r="F735" s="10" t="str">
        <f>IF(final_data[[#This Row],[Total_applicants]]=0,"unknown","-")</f>
        <v>-</v>
      </c>
      <c r="G735" s="5">
        <v>793022</v>
      </c>
      <c r="H735" s="1" t="s">
        <v>43</v>
      </c>
      <c r="I735" s="1" t="s">
        <v>466</v>
      </c>
      <c r="J735">
        <v>5000</v>
      </c>
      <c r="K735" s="1" t="s">
        <v>469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1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1</v>
      </c>
    </row>
    <row r="736" spans="1:42" x14ac:dyDescent="0.25">
      <c r="A736" s="1" t="s">
        <v>362</v>
      </c>
      <c r="B736" s="1" t="s">
        <v>288</v>
      </c>
      <c r="C736" s="1" t="s">
        <v>398</v>
      </c>
      <c r="D736" s="1" t="s">
        <v>454</v>
      </c>
      <c r="E736">
        <v>5</v>
      </c>
      <c r="F736" s="10" t="str">
        <f>IF(final_data[[#This Row],[Total_applicants]]=0,"unknown","-")</f>
        <v>-</v>
      </c>
      <c r="G736" s="5">
        <v>793022</v>
      </c>
      <c r="H736" s="1" t="s">
        <v>43</v>
      </c>
      <c r="I736" s="1" t="s">
        <v>466</v>
      </c>
      <c r="J736">
        <v>5000</v>
      </c>
      <c r="K736" s="1" t="s">
        <v>469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1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 s="1" t="s">
        <v>362</v>
      </c>
      <c r="B737" s="1" t="s">
        <v>288</v>
      </c>
      <c r="C737" s="1" t="s">
        <v>385</v>
      </c>
      <c r="D737" s="1" t="s">
        <v>463</v>
      </c>
      <c r="E737">
        <v>59</v>
      </c>
      <c r="F737" s="10" t="str">
        <f>IF(final_data[[#This Row],[Total_applicants]]=0,"unknown","-")</f>
        <v>-</v>
      </c>
      <c r="G737" s="5">
        <v>793022</v>
      </c>
      <c r="H737" s="1" t="s">
        <v>43</v>
      </c>
      <c r="I737" s="1" t="s">
        <v>466</v>
      </c>
      <c r="J737">
        <v>5000</v>
      </c>
      <c r="K737" s="1" t="s">
        <v>469</v>
      </c>
      <c r="L737">
        <v>1</v>
      </c>
      <c r="M737">
        <v>0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1</v>
      </c>
      <c r="AF737">
        <v>0</v>
      </c>
      <c r="AG737">
        <v>0</v>
      </c>
      <c r="AH737">
        <v>1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1</v>
      </c>
    </row>
    <row r="738" spans="1:42" x14ac:dyDescent="0.25">
      <c r="A738" s="1" t="s">
        <v>362</v>
      </c>
      <c r="B738" s="1" t="s">
        <v>288</v>
      </c>
      <c r="C738" s="1" t="s">
        <v>118</v>
      </c>
      <c r="D738" s="1" t="s">
        <v>449</v>
      </c>
      <c r="E738">
        <v>136</v>
      </c>
      <c r="F738" s="10" t="str">
        <f>IF(final_data[[#This Row],[Total_applicants]]=0,"unknown","-")</f>
        <v>-</v>
      </c>
      <c r="G738" s="5">
        <v>793022</v>
      </c>
      <c r="H738" s="1" t="s">
        <v>43</v>
      </c>
      <c r="I738" s="1" t="s">
        <v>466</v>
      </c>
      <c r="J738">
        <v>5000</v>
      </c>
      <c r="K738" s="1" t="s">
        <v>469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 s="1" t="s">
        <v>362</v>
      </c>
      <c r="B739" s="1" t="s">
        <v>288</v>
      </c>
      <c r="C739" s="1" t="s">
        <v>399</v>
      </c>
      <c r="D739" s="1" t="s">
        <v>453</v>
      </c>
      <c r="E739">
        <v>11</v>
      </c>
      <c r="F739" s="10" t="str">
        <f>IF(final_data[[#This Row],[Total_applicants]]=0,"unknown","-")</f>
        <v>-</v>
      </c>
      <c r="G739" s="5">
        <v>793022</v>
      </c>
      <c r="H739" s="1" t="s">
        <v>43</v>
      </c>
      <c r="I739" s="1" t="s">
        <v>466</v>
      </c>
      <c r="J739">
        <v>5000</v>
      </c>
      <c r="K739" s="1" t="s">
        <v>469</v>
      </c>
      <c r="L739">
        <v>1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1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 s="1" t="s">
        <v>362</v>
      </c>
      <c r="B740" s="1" t="s">
        <v>288</v>
      </c>
      <c r="C740" s="1" t="s">
        <v>376</v>
      </c>
      <c r="D740" s="1" t="s">
        <v>451</v>
      </c>
      <c r="E740">
        <v>36</v>
      </c>
      <c r="F740" s="10" t="str">
        <f>IF(final_data[[#This Row],[Total_applicants]]=0,"unknown","-")</f>
        <v>-</v>
      </c>
      <c r="G740" s="5">
        <v>793022</v>
      </c>
      <c r="H740" s="1" t="s">
        <v>43</v>
      </c>
      <c r="I740" s="1" t="s">
        <v>466</v>
      </c>
      <c r="J740">
        <v>5000</v>
      </c>
      <c r="K740" s="1" t="s">
        <v>469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 s="1" t="s">
        <v>362</v>
      </c>
      <c r="B741" s="1" t="s">
        <v>288</v>
      </c>
      <c r="C741" s="1" t="s">
        <v>400</v>
      </c>
      <c r="D741" s="1" t="s">
        <v>452</v>
      </c>
      <c r="E741">
        <v>20</v>
      </c>
      <c r="F741" s="10" t="str">
        <f>IF(final_data[[#This Row],[Total_applicants]]=0,"unknown","-")</f>
        <v>-</v>
      </c>
      <c r="G741" s="5">
        <v>793022</v>
      </c>
      <c r="H741" s="1" t="s">
        <v>43</v>
      </c>
      <c r="I741" s="1" t="s">
        <v>466</v>
      </c>
      <c r="J741">
        <v>5000</v>
      </c>
      <c r="K741" s="1" t="s">
        <v>469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 s="1" t="s">
        <v>362</v>
      </c>
      <c r="B742" s="1" t="s">
        <v>288</v>
      </c>
      <c r="C742" s="1" t="s">
        <v>401</v>
      </c>
      <c r="D742" s="1" t="s">
        <v>451</v>
      </c>
      <c r="E742">
        <v>48</v>
      </c>
      <c r="F742" s="10" t="str">
        <f>IF(final_data[[#This Row],[Total_applicants]]=0,"unknown","-")</f>
        <v>-</v>
      </c>
      <c r="G742" s="5">
        <v>793022</v>
      </c>
      <c r="H742" s="1" t="s">
        <v>43</v>
      </c>
      <c r="I742" s="1" t="s">
        <v>466</v>
      </c>
      <c r="J742">
        <v>5000</v>
      </c>
      <c r="K742" s="1" t="s">
        <v>469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1</v>
      </c>
    </row>
    <row r="743" spans="1:42" x14ac:dyDescent="0.25">
      <c r="A743" s="1" t="s">
        <v>362</v>
      </c>
      <c r="B743" s="1" t="s">
        <v>288</v>
      </c>
      <c r="C743" s="1" t="s">
        <v>402</v>
      </c>
      <c r="D743" s="1" t="s">
        <v>463</v>
      </c>
      <c r="E743">
        <v>13</v>
      </c>
      <c r="F743" s="10" t="str">
        <f>IF(final_data[[#This Row],[Total_applicants]]=0,"unknown","-")</f>
        <v>-</v>
      </c>
      <c r="G743" s="5">
        <v>793022</v>
      </c>
      <c r="H743" s="1" t="s">
        <v>43</v>
      </c>
      <c r="I743" s="1" t="s">
        <v>466</v>
      </c>
      <c r="J743">
        <v>5000</v>
      </c>
      <c r="K743" s="1" t="s">
        <v>469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1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1</v>
      </c>
      <c r="AP743">
        <v>1</v>
      </c>
    </row>
    <row r="744" spans="1:42" x14ac:dyDescent="0.25">
      <c r="A744" s="1" t="s">
        <v>362</v>
      </c>
      <c r="B744" s="1" t="s">
        <v>288</v>
      </c>
      <c r="C744" s="1" t="s">
        <v>403</v>
      </c>
      <c r="D744" s="1" t="s">
        <v>461</v>
      </c>
      <c r="E744">
        <v>27</v>
      </c>
      <c r="F744" s="10" t="str">
        <f>IF(final_data[[#This Row],[Total_applicants]]=0,"unknown","-")</f>
        <v>-</v>
      </c>
      <c r="G744" s="5">
        <v>793022</v>
      </c>
      <c r="H744" s="1" t="s">
        <v>43</v>
      </c>
      <c r="I744" s="1" t="s">
        <v>466</v>
      </c>
      <c r="J744">
        <v>5000</v>
      </c>
      <c r="K744" s="1" t="s">
        <v>469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 s="1" t="s">
        <v>362</v>
      </c>
      <c r="B745" s="1" t="s">
        <v>288</v>
      </c>
      <c r="C745" s="1" t="s">
        <v>391</v>
      </c>
      <c r="D745" s="1" t="s">
        <v>452</v>
      </c>
      <c r="E745">
        <v>29</v>
      </c>
      <c r="F745" s="10" t="str">
        <f>IF(final_data[[#This Row],[Total_applicants]]=0,"unknown","-")</f>
        <v>-</v>
      </c>
      <c r="G745" s="5">
        <v>793022</v>
      </c>
      <c r="H745" s="1" t="s">
        <v>43</v>
      </c>
      <c r="I745" s="1" t="s">
        <v>466</v>
      </c>
      <c r="J745">
        <v>5000</v>
      </c>
      <c r="K745" s="1" t="s">
        <v>469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1</v>
      </c>
    </row>
    <row r="746" spans="1:42" x14ac:dyDescent="0.25">
      <c r="A746" s="1" t="s">
        <v>362</v>
      </c>
      <c r="B746" s="1" t="s">
        <v>288</v>
      </c>
      <c r="C746" s="1" t="s">
        <v>404</v>
      </c>
      <c r="D746" s="1" t="s">
        <v>461</v>
      </c>
      <c r="E746">
        <v>33</v>
      </c>
      <c r="F746" s="10" t="str">
        <f>IF(final_data[[#This Row],[Total_applicants]]=0,"unknown","-")</f>
        <v>-</v>
      </c>
      <c r="G746" s="5">
        <v>793022</v>
      </c>
      <c r="H746" s="1" t="s">
        <v>43</v>
      </c>
      <c r="I746" s="1" t="s">
        <v>466</v>
      </c>
      <c r="J746">
        <v>5000</v>
      </c>
      <c r="K746" s="1" t="s">
        <v>469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1</v>
      </c>
    </row>
    <row r="747" spans="1:42" x14ac:dyDescent="0.25">
      <c r="A747" s="1" t="s">
        <v>362</v>
      </c>
      <c r="B747" s="1" t="s">
        <v>288</v>
      </c>
      <c r="C747" s="1" t="s">
        <v>391</v>
      </c>
      <c r="D747" s="1" t="s">
        <v>454</v>
      </c>
      <c r="E747">
        <v>29</v>
      </c>
      <c r="F747" s="10" t="str">
        <f>IF(final_data[[#This Row],[Total_applicants]]=0,"unknown","-")</f>
        <v>-</v>
      </c>
      <c r="G747" s="5">
        <v>793022</v>
      </c>
      <c r="H747" s="1" t="s">
        <v>43</v>
      </c>
      <c r="I747" s="1" t="s">
        <v>466</v>
      </c>
      <c r="J747">
        <v>5000</v>
      </c>
      <c r="K747" s="1" t="s">
        <v>469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1</v>
      </c>
    </row>
    <row r="748" spans="1:42" x14ac:dyDescent="0.25">
      <c r="A748" s="1" t="s">
        <v>362</v>
      </c>
      <c r="B748" s="1" t="s">
        <v>288</v>
      </c>
      <c r="C748" s="1" t="s">
        <v>405</v>
      </c>
      <c r="D748" s="1" t="s">
        <v>451</v>
      </c>
      <c r="E748">
        <v>111</v>
      </c>
      <c r="F748" s="10" t="str">
        <f>IF(final_data[[#This Row],[Total_applicants]]=0,"unknown","-")</f>
        <v>-</v>
      </c>
      <c r="G748" s="5">
        <v>793022</v>
      </c>
      <c r="H748" s="1" t="s">
        <v>43</v>
      </c>
      <c r="I748" s="1" t="s">
        <v>468</v>
      </c>
      <c r="J748">
        <v>5000</v>
      </c>
      <c r="K748" s="1" t="s">
        <v>469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1</v>
      </c>
      <c r="AJ748">
        <v>0</v>
      </c>
      <c r="AK748">
        <v>0</v>
      </c>
      <c r="AL748">
        <v>1</v>
      </c>
      <c r="AM748">
        <v>0</v>
      </c>
      <c r="AN748">
        <v>1</v>
      </c>
      <c r="AO748">
        <v>0</v>
      </c>
      <c r="AP748">
        <v>1</v>
      </c>
    </row>
    <row r="749" spans="1:42" x14ac:dyDescent="0.25">
      <c r="A749" s="1" t="s">
        <v>362</v>
      </c>
      <c r="B749" s="1" t="s">
        <v>288</v>
      </c>
      <c r="C749" s="1" t="s">
        <v>406</v>
      </c>
      <c r="D749" s="1" t="s">
        <v>451</v>
      </c>
      <c r="E749">
        <v>3</v>
      </c>
      <c r="F749" s="10" t="str">
        <f>IF(final_data[[#This Row],[Total_applicants]]=0,"unknown","-")</f>
        <v>-</v>
      </c>
      <c r="G749" s="5">
        <v>793022</v>
      </c>
      <c r="H749" s="1" t="s">
        <v>43</v>
      </c>
      <c r="I749" s="1" t="s">
        <v>466</v>
      </c>
      <c r="J749">
        <v>5000</v>
      </c>
      <c r="K749" s="1" t="s">
        <v>469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1</v>
      </c>
      <c r="AJ749">
        <v>1</v>
      </c>
      <c r="AK749">
        <v>0</v>
      </c>
      <c r="AL749">
        <v>1</v>
      </c>
      <c r="AM749">
        <v>1</v>
      </c>
      <c r="AN749">
        <v>0</v>
      </c>
      <c r="AO749">
        <v>0</v>
      </c>
      <c r="AP749">
        <v>0</v>
      </c>
    </row>
    <row r="750" spans="1:42" x14ac:dyDescent="0.25">
      <c r="A750" s="1" t="s">
        <v>362</v>
      </c>
      <c r="B750" s="1" t="s">
        <v>288</v>
      </c>
      <c r="C750" s="1" t="s">
        <v>407</v>
      </c>
      <c r="D750" s="1" t="s">
        <v>452</v>
      </c>
      <c r="E750">
        <v>6</v>
      </c>
      <c r="F750" s="10" t="str">
        <f>IF(final_data[[#This Row],[Total_applicants]]=0,"unknown","-")</f>
        <v>-</v>
      </c>
      <c r="G750" s="5">
        <v>793022</v>
      </c>
      <c r="H750" s="1" t="s">
        <v>43</v>
      </c>
      <c r="I750" s="1" t="s">
        <v>466</v>
      </c>
      <c r="J750">
        <v>5000</v>
      </c>
      <c r="K750" s="1" t="s">
        <v>469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1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 s="1" t="s">
        <v>362</v>
      </c>
      <c r="B751" s="1" t="s">
        <v>288</v>
      </c>
      <c r="C751" s="1" t="s">
        <v>391</v>
      </c>
      <c r="D751" s="1" t="s">
        <v>451</v>
      </c>
      <c r="E751">
        <v>31</v>
      </c>
      <c r="F751" s="10" t="str">
        <f>IF(final_data[[#This Row],[Total_applicants]]=0,"unknown","-")</f>
        <v>-</v>
      </c>
      <c r="G751" s="5">
        <v>793022</v>
      </c>
      <c r="H751" s="1" t="s">
        <v>43</v>
      </c>
      <c r="I751" s="1" t="s">
        <v>466</v>
      </c>
      <c r="J751">
        <v>5000</v>
      </c>
      <c r="K751" s="1" t="s">
        <v>469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1</v>
      </c>
    </row>
    <row r="752" spans="1:42" x14ac:dyDescent="0.25">
      <c r="A752" s="1" t="s">
        <v>362</v>
      </c>
      <c r="B752" s="1" t="s">
        <v>288</v>
      </c>
      <c r="C752" s="1" t="s">
        <v>405</v>
      </c>
      <c r="D752" s="1" t="s">
        <v>456</v>
      </c>
      <c r="E752">
        <v>55</v>
      </c>
      <c r="F752" s="10" t="str">
        <f>IF(final_data[[#This Row],[Total_applicants]]=0,"unknown","-")</f>
        <v>-</v>
      </c>
      <c r="G752" s="5">
        <v>793022</v>
      </c>
      <c r="H752" s="1" t="s">
        <v>43</v>
      </c>
      <c r="I752" s="1" t="s">
        <v>468</v>
      </c>
      <c r="J752">
        <v>5000</v>
      </c>
      <c r="K752" s="1" t="s">
        <v>469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1</v>
      </c>
      <c r="AO752">
        <v>0</v>
      </c>
      <c r="AP752">
        <v>1</v>
      </c>
    </row>
    <row r="753" spans="1:42" x14ac:dyDescent="0.25">
      <c r="A753" s="1" t="s">
        <v>362</v>
      </c>
      <c r="B753" s="1" t="s">
        <v>288</v>
      </c>
      <c r="C753" s="1" t="s">
        <v>391</v>
      </c>
      <c r="D753" s="1" t="s">
        <v>450</v>
      </c>
      <c r="E753">
        <v>23</v>
      </c>
      <c r="F753" s="10" t="str">
        <f>IF(final_data[[#This Row],[Total_applicants]]=0,"unknown","-")</f>
        <v>-</v>
      </c>
      <c r="G753" s="5">
        <v>793022</v>
      </c>
      <c r="H753" s="1" t="s">
        <v>43</v>
      </c>
      <c r="I753" s="1" t="s">
        <v>466</v>
      </c>
      <c r="J753">
        <v>5000</v>
      </c>
      <c r="K753" s="1" t="s">
        <v>469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1</v>
      </c>
    </row>
    <row r="754" spans="1:42" x14ac:dyDescent="0.25">
      <c r="A754" s="1" t="s">
        <v>362</v>
      </c>
      <c r="B754" s="1" t="s">
        <v>288</v>
      </c>
      <c r="C754" s="1" t="s">
        <v>408</v>
      </c>
      <c r="D754" s="1" t="s">
        <v>454</v>
      </c>
      <c r="E754">
        <v>20</v>
      </c>
      <c r="F754" s="10" t="str">
        <f>IF(final_data[[#This Row],[Total_applicants]]=0,"unknown","-")</f>
        <v>-</v>
      </c>
      <c r="G754" s="5">
        <v>793022</v>
      </c>
      <c r="H754" s="1" t="s">
        <v>43</v>
      </c>
      <c r="I754" s="1" t="s">
        <v>466</v>
      </c>
      <c r="J754">
        <v>5000</v>
      </c>
      <c r="K754" s="1" t="s">
        <v>469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1</v>
      </c>
      <c r="AF754">
        <v>0</v>
      </c>
      <c r="AG754">
        <v>0</v>
      </c>
      <c r="AH754">
        <v>1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1</v>
      </c>
    </row>
    <row r="755" spans="1:42" x14ac:dyDescent="0.25">
      <c r="A755" s="1" t="s">
        <v>362</v>
      </c>
      <c r="B755" s="1" t="s">
        <v>288</v>
      </c>
      <c r="C755" s="1" t="s">
        <v>409</v>
      </c>
      <c r="D755" s="1" t="s">
        <v>463</v>
      </c>
      <c r="E755">
        <v>32</v>
      </c>
      <c r="F755" s="10" t="str">
        <f>IF(final_data[[#This Row],[Total_applicants]]=0,"unknown","-")</f>
        <v>-</v>
      </c>
      <c r="G755" s="5">
        <v>793022</v>
      </c>
      <c r="H755" s="1" t="s">
        <v>43</v>
      </c>
      <c r="I755" s="1" t="s">
        <v>466</v>
      </c>
      <c r="J755">
        <v>5000</v>
      </c>
      <c r="K755" s="1" t="s">
        <v>469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1</v>
      </c>
    </row>
    <row r="756" spans="1:42" x14ac:dyDescent="0.25">
      <c r="A756" s="1" t="s">
        <v>362</v>
      </c>
      <c r="B756" s="1" t="s">
        <v>288</v>
      </c>
      <c r="C756" s="1" t="s">
        <v>410</v>
      </c>
      <c r="D756" s="1" t="s">
        <v>456</v>
      </c>
      <c r="E756">
        <v>90</v>
      </c>
      <c r="F756" s="10" t="str">
        <f>IF(final_data[[#This Row],[Total_applicants]]=0,"unknown","-")</f>
        <v>-</v>
      </c>
      <c r="G756" s="5">
        <v>793022</v>
      </c>
      <c r="H756" s="1" t="s">
        <v>43</v>
      </c>
      <c r="I756" s="1" t="s">
        <v>466</v>
      </c>
      <c r="J756">
        <v>5000</v>
      </c>
      <c r="K756" s="1" t="s">
        <v>469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 s="1" t="s">
        <v>362</v>
      </c>
      <c r="B757" s="1" t="s">
        <v>288</v>
      </c>
      <c r="C757" s="1" t="s">
        <v>411</v>
      </c>
      <c r="D757" s="1" t="s">
        <v>458</v>
      </c>
      <c r="E757">
        <v>7</v>
      </c>
      <c r="F757" s="10" t="str">
        <f>IF(final_data[[#This Row],[Total_applicants]]=0,"unknown","-")</f>
        <v>-</v>
      </c>
      <c r="G757" s="5">
        <v>793022</v>
      </c>
      <c r="H757" s="1" t="s">
        <v>43</v>
      </c>
      <c r="I757" s="1" t="s">
        <v>466</v>
      </c>
      <c r="J757">
        <v>5000</v>
      </c>
      <c r="K757" s="1" t="s">
        <v>469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1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 s="1" t="s">
        <v>362</v>
      </c>
      <c r="B758" s="1" t="s">
        <v>288</v>
      </c>
      <c r="C758" s="1" t="s">
        <v>118</v>
      </c>
      <c r="D758" s="1" t="s">
        <v>455</v>
      </c>
      <c r="E758">
        <v>47</v>
      </c>
      <c r="F758" s="10" t="str">
        <f>IF(final_data[[#This Row],[Total_applicants]]=0,"unknown","-")</f>
        <v>-</v>
      </c>
      <c r="G758" s="5">
        <v>793022</v>
      </c>
      <c r="H758" s="1" t="s">
        <v>43</v>
      </c>
      <c r="I758" s="1" t="s">
        <v>466</v>
      </c>
      <c r="J758">
        <v>5000</v>
      </c>
      <c r="K758" s="1" t="s">
        <v>469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 s="1" t="s">
        <v>362</v>
      </c>
      <c r="B759" s="1" t="s">
        <v>288</v>
      </c>
      <c r="C759" s="1" t="s">
        <v>412</v>
      </c>
      <c r="D759" s="1" t="s">
        <v>453</v>
      </c>
      <c r="E759">
        <v>15</v>
      </c>
      <c r="F759" s="10" t="str">
        <f>IF(final_data[[#This Row],[Total_applicants]]=0,"unknown","-")</f>
        <v>-</v>
      </c>
      <c r="G759" s="5">
        <v>793022</v>
      </c>
      <c r="H759" s="1" t="s">
        <v>43</v>
      </c>
      <c r="I759" s="1" t="s">
        <v>466</v>
      </c>
      <c r="J759">
        <v>5000</v>
      </c>
      <c r="K759" s="1" t="s">
        <v>469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</v>
      </c>
    </row>
    <row r="760" spans="1:42" x14ac:dyDescent="0.25">
      <c r="A760" s="1" t="s">
        <v>362</v>
      </c>
      <c r="B760" s="1" t="s">
        <v>288</v>
      </c>
      <c r="C760" s="1" t="s">
        <v>413</v>
      </c>
      <c r="D760" s="1" t="s">
        <v>449</v>
      </c>
      <c r="E760">
        <v>64</v>
      </c>
      <c r="F760" s="10" t="str">
        <f>IF(final_data[[#This Row],[Total_applicants]]=0,"unknown","-")</f>
        <v>-</v>
      </c>
      <c r="G760" s="5">
        <v>793022</v>
      </c>
      <c r="H760" s="1" t="s">
        <v>43</v>
      </c>
      <c r="I760" s="1" t="s">
        <v>466</v>
      </c>
      <c r="J760">
        <v>5000</v>
      </c>
      <c r="K760" s="1" t="s">
        <v>469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1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25">
      <c r="A761" s="1" t="s">
        <v>362</v>
      </c>
      <c r="B761" s="1" t="s">
        <v>288</v>
      </c>
      <c r="C761" s="1" t="s">
        <v>414</v>
      </c>
      <c r="D761" s="1" t="s">
        <v>455</v>
      </c>
      <c r="E761">
        <v>12</v>
      </c>
      <c r="F761" s="10" t="str">
        <f>IF(final_data[[#This Row],[Total_applicants]]=0,"unknown","-")</f>
        <v>-</v>
      </c>
      <c r="G761" s="5">
        <v>793022</v>
      </c>
      <c r="H761" s="1" t="s">
        <v>43</v>
      </c>
      <c r="I761" s="1" t="s">
        <v>466</v>
      </c>
      <c r="J761">
        <v>5000</v>
      </c>
      <c r="K761" s="1" t="s">
        <v>469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 s="1" t="s">
        <v>362</v>
      </c>
      <c r="B762" s="1" t="s">
        <v>288</v>
      </c>
      <c r="C762" s="1" t="s">
        <v>245</v>
      </c>
      <c r="D762" s="1" t="s">
        <v>452</v>
      </c>
      <c r="E762">
        <v>34</v>
      </c>
      <c r="F762" s="10" t="str">
        <f>IF(final_data[[#This Row],[Total_applicants]]=0,"unknown","-")</f>
        <v>-</v>
      </c>
      <c r="G762" s="5">
        <v>793022</v>
      </c>
      <c r="H762" s="1" t="s">
        <v>43</v>
      </c>
      <c r="I762" s="1" t="s">
        <v>466</v>
      </c>
      <c r="J762">
        <v>5000</v>
      </c>
      <c r="K762" s="1" t="s">
        <v>469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1</v>
      </c>
    </row>
    <row r="763" spans="1:42" x14ac:dyDescent="0.25">
      <c r="A763" s="1" t="s">
        <v>362</v>
      </c>
      <c r="B763" s="1" t="s">
        <v>288</v>
      </c>
      <c r="C763" s="1" t="s">
        <v>415</v>
      </c>
      <c r="D763" s="1" t="s">
        <v>455</v>
      </c>
      <c r="E763">
        <v>34</v>
      </c>
      <c r="F763" s="10" t="str">
        <f>IF(final_data[[#This Row],[Total_applicants]]=0,"unknown","-")</f>
        <v>-</v>
      </c>
      <c r="G763" s="5">
        <v>793022</v>
      </c>
      <c r="H763" s="1" t="s">
        <v>43</v>
      </c>
      <c r="I763" s="1" t="s">
        <v>466</v>
      </c>
      <c r="J763">
        <v>5000</v>
      </c>
      <c r="K763" s="1" t="s">
        <v>469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1</v>
      </c>
    </row>
    <row r="764" spans="1:42" x14ac:dyDescent="0.25">
      <c r="A764" s="1" t="s">
        <v>362</v>
      </c>
      <c r="B764" s="1" t="s">
        <v>288</v>
      </c>
      <c r="C764" s="1" t="s">
        <v>416</v>
      </c>
      <c r="D764" s="1" t="s">
        <v>452</v>
      </c>
      <c r="E764">
        <v>3</v>
      </c>
      <c r="F764" s="10" t="str">
        <f>IF(final_data[[#This Row],[Total_applicants]]=0,"unknown","-")</f>
        <v>-</v>
      </c>
      <c r="G764" s="5">
        <v>793022</v>
      </c>
      <c r="H764" s="1" t="s">
        <v>43</v>
      </c>
      <c r="I764" s="1" t="s">
        <v>466</v>
      </c>
      <c r="J764">
        <v>5000</v>
      </c>
      <c r="K764" s="1" t="s">
        <v>469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 s="1" t="s">
        <v>362</v>
      </c>
      <c r="B765" s="1" t="s">
        <v>288</v>
      </c>
      <c r="C765" s="1" t="s">
        <v>410</v>
      </c>
      <c r="D765" s="1" t="s">
        <v>454</v>
      </c>
      <c r="E765">
        <v>33</v>
      </c>
      <c r="F765" s="10" t="str">
        <f>IF(final_data[[#This Row],[Total_applicants]]=0,"unknown","-")</f>
        <v>-</v>
      </c>
      <c r="G765" s="5">
        <v>793022</v>
      </c>
      <c r="H765" s="1" t="s">
        <v>43</v>
      </c>
      <c r="I765" s="1" t="s">
        <v>466</v>
      </c>
      <c r="J765">
        <v>5000</v>
      </c>
      <c r="K765" s="1" t="s">
        <v>469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 s="1" t="s">
        <v>362</v>
      </c>
      <c r="B766" s="1" t="s">
        <v>288</v>
      </c>
      <c r="C766" s="1" t="s">
        <v>417</v>
      </c>
      <c r="D766" s="1" t="s">
        <v>463</v>
      </c>
      <c r="E766">
        <v>7</v>
      </c>
      <c r="F766" s="10" t="str">
        <f>IF(final_data[[#This Row],[Total_applicants]]=0,"unknown","-")</f>
        <v>-</v>
      </c>
      <c r="G766" s="5">
        <v>793022</v>
      </c>
      <c r="H766" s="1" t="s">
        <v>43</v>
      </c>
      <c r="I766" s="1" t="s">
        <v>466</v>
      </c>
      <c r="J766">
        <v>5000</v>
      </c>
      <c r="K766" s="1" t="s">
        <v>469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 s="1" t="s">
        <v>362</v>
      </c>
      <c r="B767" s="1" t="s">
        <v>288</v>
      </c>
      <c r="C767" s="1" t="s">
        <v>156</v>
      </c>
      <c r="D767" s="1" t="s">
        <v>461</v>
      </c>
      <c r="E767">
        <v>70</v>
      </c>
      <c r="F767" s="10" t="str">
        <f>IF(final_data[[#This Row],[Total_applicants]]=0,"unknown","-")</f>
        <v>-</v>
      </c>
      <c r="G767" s="5">
        <v>793022</v>
      </c>
      <c r="H767" s="1" t="s">
        <v>43</v>
      </c>
      <c r="I767" s="1" t="s">
        <v>466</v>
      </c>
      <c r="J767">
        <v>5000</v>
      </c>
      <c r="K767" s="1" t="s">
        <v>469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  <c r="AG767">
        <v>1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 s="1" t="s">
        <v>362</v>
      </c>
      <c r="B768" s="1" t="s">
        <v>288</v>
      </c>
      <c r="C768" s="1" t="s">
        <v>418</v>
      </c>
      <c r="D768" s="1" t="s">
        <v>461</v>
      </c>
      <c r="E768">
        <v>14</v>
      </c>
      <c r="F768" s="10" t="str">
        <f>IF(final_data[[#This Row],[Total_applicants]]=0,"unknown","-")</f>
        <v>-</v>
      </c>
      <c r="G768" s="5">
        <v>793022</v>
      </c>
      <c r="H768" s="1" t="s">
        <v>43</v>
      </c>
      <c r="I768" s="1" t="s">
        <v>466</v>
      </c>
      <c r="J768">
        <v>5000</v>
      </c>
      <c r="K768" s="1" t="s">
        <v>469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1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1</v>
      </c>
    </row>
    <row r="769" spans="1:42" x14ac:dyDescent="0.25">
      <c r="A769" s="1" t="s">
        <v>362</v>
      </c>
      <c r="B769" s="1" t="s">
        <v>288</v>
      </c>
      <c r="C769" s="1" t="s">
        <v>381</v>
      </c>
      <c r="D769" s="1" t="s">
        <v>461</v>
      </c>
      <c r="E769">
        <v>167</v>
      </c>
      <c r="F769" s="10" t="str">
        <f>IF(final_data[[#This Row],[Total_applicants]]=0,"unknown","-")</f>
        <v>-</v>
      </c>
      <c r="G769" s="5">
        <v>793022</v>
      </c>
      <c r="H769" s="1" t="s">
        <v>43</v>
      </c>
      <c r="I769" s="1" t="s">
        <v>466</v>
      </c>
      <c r="J769">
        <v>5000</v>
      </c>
      <c r="K769" s="1" t="s">
        <v>469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1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1</v>
      </c>
      <c r="AP769">
        <v>1</v>
      </c>
    </row>
    <row r="770" spans="1:42" x14ac:dyDescent="0.25">
      <c r="A770" s="1" t="s">
        <v>362</v>
      </c>
      <c r="B770" s="1" t="s">
        <v>288</v>
      </c>
      <c r="C770" s="1" t="s">
        <v>419</v>
      </c>
      <c r="D770" s="1" t="s">
        <v>451</v>
      </c>
      <c r="E770">
        <v>27</v>
      </c>
      <c r="F770" s="10" t="str">
        <f>IF(final_data[[#This Row],[Total_applicants]]=0,"unknown","-")</f>
        <v>-</v>
      </c>
      <c r="G770" s="5">
        <v>793022</v>
      </c>
      <c r="H770" s="1" t="s">
        <v>43</v>
      </c>
      <c r="I770" s="1" t="s">
        <v>466</v>
      </c>
      <c r="J770">
        <v>5000</v>
      </c>
      <c r="K770" s="1" t="s">
        <v>469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1</v>
      </c>
      <c r="AJ770">
        <v>1</v>
      </c>
      <c r="AK770">
        <v>0</v>
      </c>
      <c r="AL770">
        <v>1</v>
      </c>
      <c r="AM770">
        <v>1</v>
      </c>
      <c r="AN770">
        <v>0</v>
      </c>
      <c r="AO770">
        <v>0</v>
      </c>
      <c r="AP770">
        <v>0</v>
      </c>
    </row>
    <row r="771" spans="1:42" x14ac:dyDescent="0.25">
      <c r="A771" s="1" t="s">
        <v>362</v>
      </c>
      <c r="B771" s="1" t="s">
        <v>288</v>
      </c>
      <c r="C771" s="1" t="s">
        <v>420</v>
      </c>
      <c r="D771" s="1" t="s">
        <v>449</v>
      </c>
      <c r="E771">
        <v>9</v>
      </c>
      <c r="F771" s="10" t="str">
        <f>IF(final_data[[#This Row],[Total_applicants]]=0,"unknown","-")</f>
        <v>-</v>
      </c>
      <c r="G771" s="5">
        <v>793022</v>
      </c>
      <c r="H771" s="1" t="s">
        <v>43</v>
      </c>
      <c r="I771" s="1" t="s">
        <v>466</v>
      </c>
      <c r="J771">
        <v>5000</v>
      </c>
      <c r="K771" s="1" t="s">
        <v>469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 s="1" t="s">
        <v>362</v>
      </c>
      <c r="B772" s="1" t="s">
        <v>288</v>
      </c>
      <c r="C772" s="1" t="s">
        <v>421</v>
      </c>
      <c r="D772" s="1" t="s">
        <v>449</v>
      </c>
      <c r="E772">
        <v>30</v>
      </c>
      <c r="F772" s="10" t="str">
        <f>IF(final_data[[#This Row],[Total_applicants]]=0,"unknown","-")</f>
        <v>-</v>
      </c>
      <c r="G772" s="5">
        <v>793022</v>
      </c>
      <c r="H772" s="1" t="s">
        <v>43</v>
      </c>
      <c r="I772" s="1" t="s">
        <v>466</v>
      </c>
      <c r="J772">
        <v>5000</v>
      </c>
      <c r="K772" s="1" t="s">
        <v>469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 s="1" t="s">
        <v>362</v>
      </c>
      <c r="B773" s="1" t="s">
        <v>288</v>
      </c>
      <c r="C773" s="1" t="s">
        <v>384</v>
      </c>
      <c r="D773" s="1" t="s">
        <v>462</v>
      </c>
      <c r="E773">
        <v>19</v>
      </c>
      <c r="F773" s="10" t="str">
        <f>IF(final_data[[#This Row],[Total_applicants]]=0,"unknown","-")</f>
        <v>-</v>
      </c>
      <c r="G773" s="5">
        <v>793022</v>
      </c>
      <c r="H773" s="1" t="s">
        <v>43</v>
      </c>
      <c r="I773" s="1" t="s">
        <v>466</v>
      </c>
      <c r="J773">
        <v>5000</v>
      </c>
      <c r="K773" s="1" t="s">
        <v>469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 s="1" t="s">
        <v>362</v>
      </c>
      <c r="B774" s="1" t="s">
        <v>288</v>
      </c>
      <c r="C774" s="1" t="s">
        <v>421</v>
      </c>
      <c r="D774" s="1" t="s">
        <v>449</v>
      </c>
      <c r="E774">
        <v>33</v>
      </c>
      <c r="F774" s="10" t="str">
        <f>IF(final_data[[#This Row],[Total_applicants]]=0,"unknown","-")</f>
        <v>-</v>
      </c>
      <c r="G774" s="5">
        <v>793022</v>
      </c>
      <c r="H774" s="1" t="s">
        <v>43</v>
      </c>
      <c r="I774" s="1" t="s">
        <v>466</v>
      </c>
      <c r="J774">
        <v>5000</v>
      </c>
      <c r="K774" s="1" t="s">
        <v>469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 s="1" t="s">
        <v>362</v>
      </c>
      <c r="B775" s="1" t="s">
        <v>288</v>
      </c>
      <c r="C775" s="1" t="s">
        <v>422</v>
      </c>
      <c r="D775" s="1" t="s">
        <v>453</v>
      </c>
      <c r="E775">
        <v>8</v>
      </c>
      <c r="F775" s="10" t="str">
        <f>IF(final_data[[#This Row],[Total_applicants]]=0,"unknown","-")</f>
        <v>-</v>
      </c>
      <c r="G775" s="5">
        <v>793022</v>
      </c>
      <c r="H775" s="1" t="s">
        <v>43</v>
      </c>
      <c r="I775" s="1" t="s">
        <v>466</v>
      </c>
      <c r="J775">
        <v>5000</v>
      </c>
      <c r="K775" s="1" t="s">
        <v>469</v>
      </c>
      <c r="L775">
        <v>1</v>
      </c>
      <c r="M775">
        <v>0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1</v>
      </c>
      <c r="AG775">
        <v>0</v>
      </c>
      <c r="AH775">
        <v>1</v>
      </c>
      <c r="AI775">
        <v>1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 s="1" t="s">
        <v>362</v>
      </c>
      <c r="B776" s="1" t="s">
        <v>288</v>
      </c>
      <c r="C776" s="1" t="s">
        <v>420</v>
      </c>
      <c r="D776" s="1" t="s">
        <v>452</v>
      </c>
      <c r="E776">
        <v>21</v>
      </c>
      <c r="F776" s="10" t="str">
        <f>IF(final_data[[#This Row],[Total_applicants]]=0,"unknown","-")</f>
        <v>-</v>
      </c>
      <c r="G776" s="5">
        <v>793022</v>
      </c>
      <c r="H776" s="1" t="s">
        <v>43</v>
      </c>
      <c r="I776" s="1" t="s">
        <v>466</v>
      </c>
      <c r="J776">
        <v>5000</v>
      </c>
      <c r="K776" s="1" t="s">
        <v>469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 s="1" t="s">
        <v>362</v>
      </c>
      <c r="B777" s="1" t="s">
        <v>288</v>
      </c>
      <c r="C777" s="1" t="s">
        <v>423</v>
      </c>
      <c r="D777" s="1" t="s">
        <v>452</v>
      </c>
      <c r="E777">
        <v>6</v>
      </c>
      <c r="F777" s="10" t="str">
        <f>IF(final_data[[#This Row],[Total_applicants]]=0,"unknown","-")</f>
        <v>-</v>
      </c>
      <c r="G777" s="5">
        <v>793022</v>
      </c>
      <c r="H777" s="1" t="s">
        <v>43</v>
      </c>
      <c r="I777" s="1" t="s">
        <v>466</v>
      </c>
      <c r="J777">
        <v>5000</v>
      </c>
      <c r="K777" s="1" t="s">
        <v>469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 s="1" t="s">
        <v>362</v>
      </c>
      <c r="B778" s="1" t="s">
        <v>288</v>
      </c>
      <c r="C778" s="1" t="s">
        <v>424</v>
      </c>
      <c r="D778" s="1" t="s">
        <v>453</v>
      </c>
      <c r="E778">
        <v>79</v>
      </c>
      <c r="F778" s="10" t="str">
        <f>IF(final_data[[#This Row],[Total_applicants]]=0,"unknown","-")</f>
        <v>-</v>
      </c>
      <c r="G778" s="5">
        <v>793022</v>
      </c>
      <c r="H778" s="1" t="s">
        <v>43</v>
      </c>
      <c r="I778" s="1" t="s">
        <v>466</v>
      </c>
      <c r="J778">
        <v>5000</v>
      </c>
      <c r="K778" s="1" t="s">
        <v>469</v>
      </c>
      <c r="L778">
        <v>1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1</v>
      </c>
      <c r="AF778">
        <v>0</v>
      </c>
      <c r="AG778">
        <v>0</v>
      </c>
      <c r="AH778">
        <v>1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1</v>
      </c>
    </row>
    <row r="779" spans="1:42" x14ac:dyDescent="0.25">
      <c r="A779" s="1" t="s">
        <v>362</v>
      </c>
      <c r="B779" s="1" t="s">
        <v>288</v>
      </c>
      <c r="C779" s="1" t="s">
        <v>384</v>
      </c>
      <c r="D779" s="1" t="s">
        <v>462</v>
      </c>
      <c r="E779">
        <v>21</v>
      </c>
      <c r="F779" s="10" t="str">
        <f>IF(final_data[[#This Row],[Total_applicants]]=0,"unknown","-")</f>
        <v>-</v>
      </c>
      <c r="G779" s="5">
        <v>793022</v>
      </c>
      <c r="H779" s="1" t="s">
        <v>43</v>
      </c>
      <c r="I779" s="1" t="s">
        <v>466</v>
      </c>
      <c r="J779">
        <v>5000</v>
      </c>
      <c r="K779" s="1" t="s">
        <v>469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 s="1" t="s">
        <v>362</v>
      </c>
      <c r="B780" s="1" t="s">
        <v>288</v>
      </c>
      <c r="C780" s="1" t="s">
        <v>425</v>
      </c>
      <c r="D780" s="1" t="s">
        <v>456</v>
      </c>
      <c r="E780">
        <v>6</v>
      </c>
      <c r="F780" s="10" t="str">
        <f>IF(final_data[[#This Row],[Total_applicants]]=0,"unknown","-")</f>
        <v>-</v>
      </c>
      <c r="G780" s="5">
        <v>793022</v>
      </c>
      <c r="H780" s="1" t="s">
        <v>43</v>
      </c>
      <c r="I780" s="1" t="s">
        <v>466</v>
      </c>
      <c r="J780">
        <v>5000</v>
      </c>
      <c r="K780" s="1" t="s">
        <v>469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 s="1" t="s">
        <v>362</v>
      </c>
      <c r="B781" s="1" t="s">
        <v>288</v>
      </c>
      <c r="C781" s="1" t="s">
        <v>424</v>
      </c>
      <c r="D781" s="1" t="s">
        <v>449</v>
      </c>
      <c r="E781">
        <v>75</v>
      </c>
      <c r="F781" s="10" t="str">
        <f>IF(final_data[[#This Row],[Total_applicants]]=0,"unknown","-")</f>
        <v>-</v>
      </c>
      <c r="G781" s="5">
        <v>793022</v>
      </c>
      <c r="H781" s="1" t="s">
        <v>43</v>
      </c>
      <c r="I781" s="1" t="s">
        <v>466</v>
      </c>
      <c r="J781">
        <v>5000</v>
      </c>
      <c r="K781" s="1" t="s">
        <v>469</v>
      </c>
      <c r="L781">
        <v>1</v>
      </c>
      <c r="M781">
        <v>0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1</v>
      </c>
    </row>
    <row r="782" spans="1:42" x14ac:dyDescent="0.25">
      <c r="A782" s="1" t="s">
        <v>362</v>
      </c>
      <c r="B782" s="1" t="s">
        <v>288</v>
      </c>
      <c r="C782" s="1" t="s">
        <v>426</v>
      </c>
      <c r="D782" s="1" t="s">
        <v>461</v>
      </c>
      <c r="E782">
        <v>27</v>
      </c>
      <c r="F782" s="10" t="str">
        <f>IF(final_data[[#This Row],[Total_applicants]]=0,"unknown","-")</f>
        <v>-</v>
      </c>
      <c r="G782" s="5">
        <v>793022</v>
      </c>
      <c r="H782" s="1" t="s">
        <v>43</v>
      </c>
      <c r="I782" s="1" t="s">
        <v>466</v>
      </c>
      <c r="J782">
        <v>5000</v>
      </c>
      <c r="K782" s="1" t="s">
        <v>469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 s="1" t="s">
        <v>362</v>
      </c>
      <c r="B783" s="1" t="s">
        <v>288</v>
      </c>
      <c r="C783" s="1" t="s">
        <v>427</v>
      </c>
      <c r="D783" s="1" t="s">
        <v>461</v>
      </c>
      <c r="E783">
        <v>17</v>
      </c>
      <c r="F783" s="10" t="str">
        <f>IF(final_data[[#This Row],[Total_applicants]]=0,"unknown","-")</f>
        <v>-</v>
      </c>
      <c r="G783" s="5">
        <v>793022</v>
      </c>
      <c r="H783" s="1" t="s">
        <v>43</v>
      </c>
      <c r="I783" s="1" t="s">
        <v>466</v>
      </c>
      <c r="J783">
        <v>5000</v>
      </c>
      <c r="K783" s="1" t="s">
        <v>469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 s="1" t="s">
        <v>362</v>
      </c>
      <c r="B784" s="1" t="s">
        <v>288</v>
      </c>
      <c r="C784" s="1" t="s">
        <v>156</v>
      </c>
      <c r="D784" s="1" t="s">
        <v>463</v>
      </c>
      <c r="E784">
        <v>77</v>
      </c>
      <c r="F784" s="10" t="str">
        <f>IF(final_data[[#This Row],[Total_applicants]]=0,"unknown","-")</f>
        <v>-</v>
      </c>
      <c r="G784" s="5">
        <v>793022</v>
      </c>
      <c r="H784" s="1" t="s">
        <v>43</v>
      </c>
      <c r="I784" s="1" t="s">
        <v>466</v>
      </c>
      <c r="J784">
        <v>5000</v>
      </c>
      <c r="K784" s="1" t="s">
        <v>469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1</v>
      </c>
      <c r="AG784">
        <v>1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 s="1" t="s">
        <v>362</v>
      </c>
      <c r="B785" s="1" t="s">
        <v>288</v>
      </c>
      <c r="C785" s="1" t="s">
        <v>388</v>
      </c>
      <c r="D785" s="1" t="s">
        <v>452</v>
      </c>
      <c r="E785">
        <v>24</v>
      </c>
      <c r="F785" s="10" t="str">
        <f>IF(final_data[[#This Row],[Total_applicants]]=0,"unknown","-")</f>
        <v>-</v>
      </c>
      <c r="G785" s="5">
        <v>793022</v>
      </c>
      <c r="H785" s="1" t="s">
        <v>43</v>
      </c>
      <c r="I785" s="1" t="s">
        <v>466</v>
      </c>
      <c r="J785">
        <v>5000</v>
      </c>
      <c r="K785" s="1" t="s">
        <v>469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 s="1" t="s">
        <v>362</v>
      </c>
      <c r="B786" s="1" t="s">
        <v>288</v>
      </c>
      <c r="C786" s="1" t="s">
        <v>398</v>
      </c>
      <c r="D786" s="1" t="s">
        <v>454</v>
      </c>
      <c r="E786">
        <v>3</v>
      </c>
      <c r="F786" s="10" t="str">
        <f>IF(final_data[[#This Row],[Total_applicants]]=0,"unknown","-")</f>
        <v>-</v>
      </c>
      <c r="G786" s="5">
        <v>793022</v>
      </c>
      <c r="H786" s="1" t="s">
        <v>43</v>
      </c>
      <c r="I786" s="1" t="s">
        <v>466</v>
      </c>
      <c r="J786">
        <v>5000</v>
      </c>
      <c r="K786" s="1" t="s">
        <v>469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1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 s="1" t="s">
        <v>362</v>
      </c>
      <c r="B787" s="1" t="s">
        <v>288</v>
      </c>
      <c r="C787" s="1" t="s">
        <v>428</v>
      </c>
      <c r="D787" s="1" t="s">
        <v>451</v>
      </c>
      <c r="E787">
        <v>11</v>
      </c>
      <c r="F787" s="10" t="str">
        <f>IF(final_data[[#This Row],[Total_applicants]]=0,"unknown","-")</f>
        <v>-</v>
      </c>
      <c r="G787" s="5">
        <v>793022</v>
      </c>
      <c r="H787" s="1" t="s">
        <v>43</v>
      </c>
      <c r="I787" s="1" t="s">
        <v>466</v>
      </c>
      <c r="J787">
        <v>5000</v>
      </c>
      <c r="K787" s="1" t="s">
        <v>469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1</v>
      </c>
      <c r="AJ787">
        <v>1</v>
      </c>
      <c r="AK787">
        <v>0</v>
      </c>
      <c r="AL787">
        <v>1</v>
      </c>
      <c r="AM787">
        <v>1</v>
      </c>
      <c r="AN787">
        <v>0</v>
      </c>
      <c r="AO787">
        <v>0</v>
      </c>
      <c r="AP787">
        <v>0</v>
      </c>
    </row>
    <row r="788" spans="1:42" x14ac:dyDescent="0.25">
      <c r="A788" s="1" t="s">
        <v>362</v>
      </c>
      <c r="B788" s="1" t="s">
        <v>288</v>
      </c>
      <c r="C788" s="1" t="s">
        <v>429</v>
      </c>
      <c r="D788" s="1" t="s">
        <v>449</v>
      </c>
      <c r="E788">
        <v>84</v>
      </c>
      <c r="F788" s="10" t="str">
        <f>IF(final_data[[#This Row],[Total_applicants]]=0,"unknown","-")</f>
        <v>-</v>
      </c>
      <c r="G788" s="5">
        <v>793022</v>
      </c>
      <c r="H788" s="1" t="s">
        <v>43</v>
      </c>
      <c r="I788" s="1" t="s">
        <v>466</v>
      </c>
      <c r="J788">
        <v>5000</v>
      </c>
      <c r="K788" s="1" t="s">
        <v>469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1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1</v>
      </c>
      <c r="AP788">
        <v>1</v>
      </c>
    </row>
    <row r="789" spans="1:42" x14ac:dyDescent="0.25">
      <c r="A789" s="1" t="s">
        <v>362</v>
      </c>
      <c r="B789" s="1" t="s">
        <v>288</v>
      </c>
      <c r="C789" s="1" t="s">
        <v>420</v>
      </c>
      <c r="D789" s="1" t="s">
        <v>451</v>
      </c>
      <c r="E789">
        <v>18</v>
      </c>
      <c r="F789" s="10" t="str">
        <f>IF(final_data[[#This Row],[Total_applicants]]=0,"unknown","-")</f>
        <v>-</v>
      </c>
      <c r="G789" s="5">
        <v>793022</v>
      </c>
      <c r="H789" s="1" t="s">
        <v>43</v>
      </c>
      <c r="I789" s="1" t="s">
        <v>466</v>
      </c>
      <c r="J789">
        <v>5000</v>
      </c>
      <c r="K789" s="1" t="s">
        <v>469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 s="1" t="s">
        <v>362</v>
      </c>
      <c r="B790" s="1" t="s">
        <v>288</v>
      </c>
      <c r="C790" s="1" t="s">
        <v>430</v>
      </c>
      <c r="D790" s="1" t="s">
        <v>451</v>
      </c>
      <c r="E790">
        <v>15</v>
      </c>
      <c r="F790" s="10" t="str">
        <f>IF(final_data[[#This Row],[Total_applicants]]=0,"unknown","-")</f>
        <v>-</v>
      </c>
      <c r="G790" s="5">
        <v>793022</v>
      </c>
      <c r="H790" s="1" t="s">
        <v>43</v>
      </c>
      <c r="I790" s="1" t="s">
        <v>466</v>
      </c>
      <c r="J790">
        <v>5000</v>
      </c>
      <c r="K790" s="1" t="s">
        <v>469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1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 s="1" t="s">
        <v>362</v>
      </c>
      <c r="B791" s="1" t="s">
        <v>288</v>
      </c>
      <c r="C791" s="1" t="s">
        <v>420</v>
      </c>
      <c r="D791" s="1" t="s">
        <v>453</v>
      </c>
      <c r="E791">
        <v>14</v>
      </c>
      <c r="F791" s="10" t="str">
        <f>IF(final_data[[#This Row],[Total_applicants]]=0,"unknown","-")</f>
        <v>-</v>
      </c>
      <c r="G791" s="5">
        <v>793022</v>
      </c>
      <c r="H791" s="1" t="s">
        <v>43</v>
      </c>
      <c r="I791" s="1" t="s">
        <v>466</v>
      </c>
      <c r="J791">
        <v>5000</v>
      </c>
      <c r="K791" s="1" t="s">
        <v>469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 s="1" t="s">
        <v>362</v>
      </c>
      <c r="B792" s="1" t="s">
        <v>288</v>
      </c>
      <c r="C792" s="1" t="s">
        <v>395</v>
      </c>
      <c r="D792" s="1" t="s">
        <v>449</v>
      </c>
      <c r="E792">
        <v>41</v>
      </c>
      <c r="F792" s="10" t="str">
        <f>IF(final_data[[#This Row],[Total_applicants]]=0,"unknown","-")</f>
        <v>-</v>
      </c>
      <c r="G792" s="5">
        <v>793022</v>
      </c>
      <c r="H792" s="1" t="s">
        <v>43</v>
      </c>
      <c r="I792" s="1" t="s">
        <v>466</v>
      </c>
      <c r="J792">
        <v>5000</v>
      </c>
      <c r="K792" s="1" t="s">
        <v>469</v>
      </c>
      <c r="L792">
        <v>1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 s="1" t="s">
        <v>362</v>
      </c>
      <c r="B793" s="1" t="s">
        <v>288</v>
      </c>
      <c r="C793" s="1" t="s">
        <v>431</v>
      </c>
      <c r="D793" s="1" t="s">
        <v>449</v>
      </c>
      <c r="E793">
        <v>9</v>
      </c>
      <c r="F793" s="10" t="str">
        <f>IF(final_data[[#This Row],[Total_applicants]]=0,"unknown","-")</f>
        <v>-</v>
      </c>
      <c r="G793" s="5">
        <v>793022</v>
      </c>
      <c r="H793" s="1" t="s">
        <v>43</v>
      </c>
      <c r="I793" s="1" t="s">
        <v>466</v>
      </c>
      <c r="J793">
        <v>5000</v>
      </c>
      <c r="K793" s="1" t="s">
        <v>469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 s="1" t="s">
        <v>362</v>
      </c>
      <c r="B794" s="1" t="s">
        <v>288</v>
      </c>
      <c r="C794" s="1" t="s">
        <v>389</v>
      </c>
      <c r="D794" s="1" t="s">
        <v>454</v>
      </c>
      <c r="E794">
        <v>113</v>
      </c>
      <c r="F794" s="10" t="str">
        <f>IF(final_data[[#This Row],[Total_applicants]]=0,"unknown","-")</f>
        <v>-</v>
      </c>
      <c r="G794" s="5">
        <v>793022</v>
      </c>
      <c r="H794" s="1" t="s">
        <v>43</v>
      </c>
      <c r="I794" s="1" t="s">
        <v>466</v>
      </c>
      <c r="J794">
        <v>5000</v>
      </c>
      <c r="K794" s="1" t="s">
        <v>469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 s="1" t="s">
        <v>432</v>
      </c>
      <c r="B795" s="1" t="s">
        <v>41</v>
      </c>
      <c r="C795" s="1" t="s">
        <v>433</v>
      </c>
      <c r="D795" s="1" t="s">
        <v>452</v>
      </c>
      <c r="E795">
        <v>61</v>
      </c>
      <c r="F795" s="10" t="str">
        <f>IF(final_data[[#This Row],[Total_applicants]]=0,"unknown","-")</f>
        <v>-</v>
      </c>
      <c r="G795" s="5">
        <v>6790011</v>
      </c>
      <c r="H795" s="1" t="s">
        <v>43</v>
      </c>
      <c r="I795" s="1" t="s">
        <v>466</v>
      </c>
      <c r="J795">
        <v>10001</v>
      </c>
      <c r="K795" s="1" t="s">
        <v>469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 s="1" t="s">
        <v>432</v>
      </c>
      <c r="B796" s="1" t="s">
        <v>41</v>
      </c>
      <c r="C796" s="1" t="s">
        <v>434</v>
      </c>
      <c r="D796" s="1" t="s">
        <v>451</v>
      </c>
      <c r="E796">
        <v>99</v>
      </c>
      <c r="F796" s="10" t="str">
        <f>IF(final_data[[#This Row],[Total_applicants]]=0,"unknown","-")</f>
        <v>-</v>
      </c>
      <c r="G796" s="5">
        <v>6790011</v>
      </c>
      <c r="H796" s="1" t="s">
        <v>43</v>
      </c>
      <c r="I796" s="1" t="s">
        <v>466</v>
      </c>
      <c r="J796">
        <v>10001</v>
      </c>
      <c r="K796" s="1" t="s">
        <v>469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 s="1" t="s">
        <v>432</v>
      </c>
      <c r="B797" s="1" t="s">
        <v>41</v>
      </c>
      <c r="C797" s="1" t="s">
        <v>435</v>
      </c>
      <c r="D797" s="1" t="s">
        <v>453</v>
      </c>
      <c r="E797">
        <v>191</v>
      </c>
      <c r="F797" s="10" t="str">
        <f>IF(final_data[[#This Row],[Total_applicants]]=0,"unknown","-")</f>
        <v>-</v>
      </c>
      <c r="G797" s="5">
        <v>6790011</v>
      </c>
      <c r="H797" s="1" t="s">
        <v>43</v>
      </c>
      <c r="I797" s="1" t="s">
        <v>468</v>
      </c>
      <c r="J797">
        <v>10001</v>
      </c>
      <c r="K797" s="1" t="s">
        <v>469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 s="1" t="s">
        <v>432</v>
      </c>
      <c r="B798" s="1" t="s">
        <v>41</v>
      </c>
      <c r="C798" s="1" t="s">
        <v>435</v>
      </c>
      <c r="D798" s="1" t="s">
        <v>454</v>
      </c>
      <c r="E798">
        <v>144</v>
      </c>
      <c r="F798" s="10" t="str">
        <f>IF(final_data[[#This Row],[Total_applicants]]=0,"unknown","-")</f>
        <v>-</v>
      </c>
      <c r="G798" s="5">
        <v>6790011</v>
      </c>
      <c r="H798" s="1" t="s">
        <v>43</v>
      </c>
      <c r="I798" s="1" t="s">
        <v>468</v>
      </c>
      <c r="J798">
        <v>10001</v>
      </c>
      <c r="K798" s="1" t="s">
        <v>469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 s="1" t="s">
        <v>432</v>
      </c>
      <c r="B799" s="1" t="s">
        <v>41</v>
      </c>
      <c r="C799" s="1" t="s">
        <v>436</v>
      </c>
      <c r="D799" s="1" t="s">
        <v>457</v>
      </c>
      <c r="E799">
        <v>170</v>
      </c>
      <c r="F799" s="10" t="str">
        <f>IF(final_data[[#This Row],[Total_applicants]]=0,"unknown","-")</f>
        <v>-</v>
      </c>
      <c r="G799" s="5">
        <v>6790011</v>
      </c>
      <c r="H799" s="1" t="s">
        <v>43</v>
      </c>
      <c r="I799" s="1" t="s">
        <v>466</v>
      </c>
      <c r="J799">
        <v>10001</v>
      </c>
      <c r="K799" s="1" t="s">
        <v>469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 s="1" t="s">
        <v>432</v>
      </c>
      <c r="B800" s="1" t="s">
        <v>41</v>
      </c>
      <c r="C800" s="1" t="s">
        <v>437</v>
      </c>
      <c r="D800" s="1" t="s">
        <v>461</v>
      </c>
      <c r="E800">
        <v>30</v>
      </c>
      <c r="F800" s="10" t="str">
        <f>IF(final_data[[#This Row],[Total_applicants]]=0,"unknown","-")</f>
        <v>-</v>
      </c>
      <c r="G800" s="5">
        <v>6790011</v>
      </c>
      <c r="H800" s="1" t="s">
        <v>43</v>
      </c>
      <c r="I800" s="1" t="s">
        <v>466</v>
      </c>
      <c r="J800">
        <v>10001</v>
      </c>
      <c r="K800" s="1" t="s">
        <v>469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 s="1" t="s">
        <v>432</v>
      </c>
      <c r="B801" s="1" t="s">
        <v>41</v>
      </c>
      <c r="C801" s="1" t="s">
        <v>438</v>
      </c>
      <c r="D801" s="1" t="s">
        <v>459</v>
      </c>
      <c r="E801">
        <v>42</v>
      </c>
      <c r="F801" s="10" t="str">
        <f>IF(final_data[[#This Row],[Total_applicants]]=0,"unknown","-")</f>
        <v>-</v>
      </c>
      <c r="G801" s="5">
        <v>6790011</v>
      </c>
      <c r="H801" s="1" t="s">
        <v>43</v>
      </c>
      <c r="I801" s="1" t="s">
        <v>468</v>
      </c>
      <c r="J801">
        <v>10001</v>
      </c>
      <c r="K801" s="1" t="s">
        <v>469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 s="1" t="s">
        <v>432</v>
      </c>
      <c r="B802" s="1" t="s">
        <v>41</v>
      </c>
      <c r="C802" s="1" t="s">
        <v>439</v>
      </c>
      <c r="D802" s="1" t="s">
        <v>464</v>
      </c>
      <c r="E802">
        <v>45</v>
      </c>
      <c r="F802" s="10" t="str">
        <f>IF(final_data[[#This Row],[Total_applicants]]=0,"unknown","-")</f>
        <v>-</v>
      </c>
      <c r="G802" s="5">
        <v>6790011</v>
      </c>
      <c r="H802" s="1" t="s">
        <v>43</v>
      </c>
      <c r="I802" s="1" t="s">
        <v>466</v>
      </c>
      <c r="J802">
        <v>10001</v>
      </c>
      <c r="K802" s="1" t="s">
        <v>469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 s="1" t="s">
        <v>432</v>
      </c>
      <c r="B803" s="1" t="s">
        <v>41</v>
      </c>
      <c r="C803" s="1" t="s">
        <v>440</v>
      </c>
      <c r="D803" s="1" t="s">
        <v>459</v>
      </c>
      <c r="E803">
        <v>126</v>
      </c>
      <c r="F803" s="10" t="str">
        <f>IF(final_data[[#This Row],[Total_applicants]]=0,"unknown","-")</f>
        <v>-</v>
      </c>
      <c r="G803" s="5">
        <v>6790011</v>
      </c>
      <c r="H803" s="1" t="s">
        <v>43</v>
      </c>
      <c r="I803" s="1" t="s">
        <v>466</v>
      </c>
      <c r="J803">
        <v>10001</v>
      </c>
      <c r="K803" s="1" t="s">
        <v>469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 s="1" t="s">
        <v>432</v>
      </c>
      <c r="B804" s="1" t="s">
        <v>41</v>
      </c>
      <c r="C804" s="1" t="s">
        <v>441</v>
      </c>
      <c r="D804" s="1" t="s">
        <v>459</v>
      </c>
      <c r="E804">
        <v>20</v>
      </c>
      <c r="F804" s="10" t="str">
        <f>IF(final_data[[#This Row],[Total_applicants]]=0,"unknown","-")</f>
        <v>-</v>
      </c>
      <c r="G804" s="5">
        <v>6790011</v>
      </c>
      <c r="H804" s="1" t="s">
        <v>43</v>
      </c>
      <c r="I804" s="1" t="s">
        <v>468</v>
      </c>
      <c r="J804">
        <v>10001</v>
      </c>
      <c r="K804" s="1" t="s">
        <v>469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1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 s="1" t="s">
        <v>432</v>
      </c>
      <c r="B805" s="1" t="s">
        <v>41</v>
      </c>
      <c r="C805" s="1" t="s">
        <v>434</v>
      </c>
      <c r="D805" s="1" t="s">
        <v>449</v>
      </c>
      <c r="E805">
        <v>69</v>
      </c>
      <c r="F805" s="10" t="str">
        <f>IF(final_data[[#This Row],[Total_applicants]]=0,"unknown","-")</f>
        <v>-</v>
      </c>
      <c r="G805" s="5">
        <v>6790011</v>
      </c>
      <c r="H805" s="1" t="s">
        <v>43</v>
      </c>
      <c r="I805" s="1" t="s">
        <v>466</v>
      </c>
      <c r="J805">
        <v>10001</v>
      </c>
      <c r="K805" s="1" t="s">
        <v>469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 s="1" t="s">
        <v>432</v>
      </c>
      <c r="B806" s="1" t="s">
        <v>41</v>
      </c>
      <c r="C806" s="1" t="s">
        <v>442</v>
      </c>
      <c r="D806" s="1" t="s">
        <v>449</v>
      </c>
      <c r="E806">
        <v>74</v>
      </c>
      <c r="F806" s="10" t="str">
        <f>IF(final_data[[#This Row],[Total_applicants]]=0,"unknown","-")</f>
        <v>-</v>
      </c>
      <c r="G806" s="5">
        <v>6790011</v>
      </c>
      <c r="H806" s="1" t="s">
        <v>43</v>
      </c>
      <c r="I806" s="1" t="s">
        <v>466</v>
      </c>
      <c r="J806">
        <v>10001</v>
      </c>
      <c r="K806" s="1" t="s">
        <v>469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 s="1" t="s">
        <v>432</v>
      </c>
      <c r="B807" s="1" t="s">
        <v>41</v>
      </c>
      <c r="C807" s="1" t="s">
        <v>436</v>
      </c>
      <c r="D807" s="1" t="s">
        <v>459</v>
      </c>
      <c r="E807">
        <v>115</v>
      </c>
      <c r="F807" s="10" t="str">
        <f>IF(final_data[[#This Row],[Total_applicants]]=0,"unknown","-")</f>
        <v>-</v>
      </c>
      <c r="G807" s="5">
        <v>6790011</v>
      </c>
      <c r="H807" s="1" t="s">
        <v>43</v>
      </c>
      <c r="I807" s="1" t="s">
        <v>468</v>
      </c>
      <c r="J807">
        <v>10001</v>
      </c>
      <c r="K807" s="1" t="s">
        <v>469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 s="1" t="s">
        <v>432</v>
      </c>
      <c r="B808" s="1" t="s">
        <v>41</v>
      </c>
      <c r="C808" s="1" t="s">
        <v>443</v>
      </c>
      <c r="D808" s="1" t="s">
        <v>458</v>
      </c>
      <c r="E808">
        <v>44</v>
      </c>
      <c r="F808" s="10" t="str">
        <f>IF(final_data[[#This Row],[Total_applicants]]=0,"unknown","-")</f>
        <v>-</v>
      </c>
      <c r="G808" s="5">
        <v>6790011</v>
      </c>
      <c r="H808" s="1" t="s">
        <v>43</v>
      </c>
      <c r="I808" s="1" t="s">
        <v>466</v>
      </c>
      <c r="J808">
        <v>10001</v>
      </c>
      <c r="K808" s="1" t="s">
        <v>469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1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 s="1" t="s">
        <v>432</v>
      </c>
      <c r="B809" s="1" t="s">
        <v>41</v>
      </c>
      <c r="C809" s="1" t="s">
        <v>444</v>
      </c>
      <c r="D809" s="1" t="s">
        <v>459</v>
      </c>
      <c r="E809">
        <v>77</v>
      </c>
      <c r="F809" s="10" t="str">
        <f>IF(final_data[[#This Row],[Total_applicants]]=0,"unknown","-")</f>
        <v>-</v>
      </c>
      <c r="G809" s="5">
        <v>6790011</v>
      </c>
      <c r="H809" s="1" t="s">
        <v>43</v>
      </c>
      <c r="I809" s="1" t="s">
        <v>465</v>
      </c>
      <c r="J809">
        <v>10001</v>
      </c>
      <c r="K809" s="1" t="s">
        <v>469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1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 s="1" t="s">
        <v>445</v>
      </c>
      <c r="B810" s="1" t="s">
        <v>84</v>
      </c>
      <c r="C810" s="1" t="s">
        <v>446</v>
      </c>
      <c r="D810" s="1" t="s">
        <v>461</v>
      </c>
      <c r="E810">
        <v>47</v>
      </c>
      <c r="F810" s="10" t="str">
        <f>IF(final_data[[#This Row],[Total_applicants]]=0,"unknown","-")</f>
        <v>-</v>
      </c>
      <c r="G810" s="5">
        <v>2519518</v>
      </c>
      <c r="H810" s="1" t="s">
        <v>43</v>
      </c>
      <c r="I810" s="1" t="s">
        <v>465</v>
      </c>
      <c r="J810">
        <v>10001</v>
      </c>
      <c r="K810" s="1" t="s">
        <v>469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 s="1" t="s">
        <v>445</v>
      </c>
      <c r="B811" s="1" t="s">
        <v>84</v>
      </c>
      <c r="C811" s="1" t="s">
        <v>447</v>
      </c>
      <c r="D811" s="1" t="s">
        <v>451</v>
      </c>
      <c r="E811">
        <v>72</v>
      </c>
      <c r="F811" s="10" t="str">
        <f>IF(final_data[[#This Row],[Total_applicants]]=0,"unknown","-")</f>
        <v>-</v>
      </c>
      <c r="G811" s="5">
        <v>2519518</v>
      </c>
      <c r="H811" s="1" t="s">
        <v>43</v>
      </c>
      <c r="I811" s="1" t="s">
        <v>466</v>
      </c>
      <c r="J811">
        <v>10001</v>
      </c>
      <c r="K811" s="1" t="s">
        <v>469</v>
      </c>
      <c r="L811">
        <v>1</v>
      </c>
      <c r="M811">
        <v>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 s="1" t="s">
        <v>445</v>
      </c>
      <c r="B812" s="1" t="s">
        <v>84</v>
      </c>
      <c r="C812" s="1" t="s">
        <v>448</v>
      </c>
      <c r="D812" s="1" t="s">
        <v>461</v>
      </c>
      <c r="E812">
        <v>133</v>
      </c>
      <c r="F812" s="10" t="str">
        <f>IF(final_data[[#This Row],[Total_applicants]]=0,"unknown","-")</f>
        <v>-</v>
      </c>
      <c r="G812" s="5">
        <v>2519518</v>
      </c>
      <c r="H812" s="1" t="s">
        <v>43</v>
      </c>
      <c r="I812" s="1" t="s">
        <v>468</v>
      </c>
      <c r="J812">
        <v>10001</v>
      </c>
      <c r="K812" s="1" t="s">
        <v>469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1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</row>
    <row r="818" spans="3:7" s="3" customFormat="1" x14ac:dyDescent="0.25">
      <c r="C818" s="4"/>
      <c r="D818" s="4"/>
      <c r="E818" s="4"/>
      <c r="F818" s="4"/>
      <c r="G818" s="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56A5-E09E-4787-AA52-8721D8E5738D}">
  <dimension ref="C2:K20"/>
  <sheetViews>
    <sheetView topLeftCell="D1" workbookViewId="0">
      <selection activeCell="D29" sqref="D29"/>
    </sheetView>
  </sheetViews>
  <sheetFormatPr defaultRowHeight="15" x14ac:dyDescent="0.25"/>
  <cols>
    <col min="3" max="3" width="24.85546875" bestFit="1" customWidth="1"/>
    <col min="4" max="4" width="24.85546875" customWidth="1"/>
    <col min="5" max="5" width="30.42578125" bestFit="1" customWidth="1"/>
    <col min="7" max="7" width="30.42578125" bestFit="1" customWidth="1"/>
    <col min="8" max="8" width="30.42578125" customWidth="1"/>
    <col min="9" max="9" width="10.42578125" bestFit="1" customWidth="1"/>
    <col min="10" max="10" width="24.85546875" bestFit="1" customWidth="1"/>
    <col min="11" max="11" width="23.7109375" bestFit="1" customWidth="1"/>
  </cols>
  <sheetData>
    <row r="2" spans="3:11" x14ac:dyDescent="0.25">
      <c r="C2" s="6"/>
      <c r="D2" s="6"/>
      <c r="E2" s="6"/>
      <c r="F2" s="2"/>
      <c r="G2" s="2"/>
      <c r="H2" s="2"/>
      <c r="I2" s="2"/>
      <c r="J2" s="2"/>
    </row>
    <row r="4" spans="3:11" x14ac:dyDescent="0.25">
      <c r="G4" s="8" t="s">
        <v>473</v>
      </c>
      <c r="H4" s="8"/>
      <c r="I4" s="8" t="s">
        <v>474</v>
      </c>
      <c r="J4" s="8" t="s">
        <v>475</v>
      </c>
      <c r="K4" s="8" t="s">
        <v>477</v>
      </c>
    </row>
    <row r="5" spans="3:11" x14ac:dyDescent="0.25">
      <c r="C5" s="6"/>
      <c r="D5" s="6"/>
      <c r="E5" s="6"/>
      <c r="G5" s="9" t="s">
        <v>40</v>
      </c>
      <c r="H5" s="3"/>
      <c r="I5">
        <f>COUNTIF(final_data!A:A,Planilha1!G5)</f>
        <v>102</v>
      </c>
      <c r="J5">
        <f>COUNTIFS(final_data!A:A,Planilha1!G5,final_data!E:E,0)</f>
        <v>25</v>
      </c>
      <c r="K5" s="7">
        <f>J5/I5</f>
        <v>0.24509803921568626</v>
      </c>
    </row>
    <row r="6" spans="3:11" x14ac:dyDescent="0.25">
      <c r="C6" s="6"/>
      <c r="D6" s="6"/>
      <c r="E6" s="6"/>
      <c r="G6" s="9" t="s">
        <v>83</v>
      </c>
      <c r="H6" s="3"/>
      <c r="I6">
        <f>COUNTIF(final_data!A:A,Planilha1!G6)</f>
        <v>187</v>
      </c>
      <c r="J6">
        <f>COUNTIFS(final_data!A:A,Planilha1!G6,final_data!E:E,0)</f>
        <v>34</v>
      </c>
      <c r="K6" s="7">
        <f t="shared" ref="K6:K15" si="0">J6/I6</f>
        <v>0.18181818181818182</v>
      </c>
    </row>
    <row r="7" spans="3:11" x14ac:dyDescent="0.25">
      <c r="C7" s="4"/>
      <c r="D7" s="4"/>
      <c r="E7" s="6"/>
      <c r="G7" s="9" t="s">
        <v>149</v>
      </c>
      <c r="H7" s="3"/>
      <c r="I7">
        <f>COUNTIF(final_data!A:A,Planilha1!G7)</f>
        <v>265</v>
      </c>
      <c r="J7">
        <f>COUNTIFS(final_data!A:A,Planilha1!G7,final_data!E:E,0)</f>
        <v>44</v>
      </c>
      <c r="K7" s="7">
        <f t="shared" si="0"/>
        <v>0.16603773584905659</v>
      </c>
    </row>
    <row r="8" spans="3:11" x14ac:dyDescent="0.25">
      <c r="C8" s="4"/>
      <c r="D8" s="4"/>
      <c r="E8" s="6"/>
      <c r="G8" s="9" t="s">
        <v>287</v>
      </c>
      <c r="H8" s="3"/>
      <c r="I8">
        <f>COUNTIF(final_data!A:A,Planilha1!G8)</f>
        <v>2</v>
      </c>
      <c r="J8">
        <f>COUNTIFS(final_data!A:A,Planilha1!G8,final_data!E:E,0)</f>
        <v>0</v>
      </c>
      <c r="K8" s="7">
        <f t="shared" si="0"/>
        <v>0</v>
      </c>
    </row>
    <row r="9" spans="3:11" x14ac:dyDescent="0.25">
      <c r="C9" s="4"/>
      <c r="D9" s="4"/>
      <c r="E9" s="6"/>
      <c r="G9" s="9" t="s">
        <v>291</v>
      </c>
      <c r="H9" s="3"/>
      <c r="I9">
        <f>COUNTIF(final_data!A:A,Planilha1!G9)</f>
        <v>97</v>
      </c>
      <c r="J9">
        <f>COUNTIFS(final_data!A:A,Planilha1!G9,final_data!E:E,0)</f>
        <v>22</v>
      </c>
      <c r="K9" s="7">
        <f t="shared" si="0"/>
        <v>0.22680412371134021</v>
      </c>
    </row>
    <row r="10" spans="3:11" x14ac:dyDescent="0.25">
      <c r="C10" s="4"/>
      <c r="D10" s="4"/>
      <c r="E10" s="6"/>
      <c r="G10" s="9" t="s">
        <v>349</v>
      </c>
      <c r="H10" s="3"/>
      <c r="I10">
        <f>COUNTIF(final_data!A:A,Planilha1!G10)</f>
        <v>1</v>
      </c>
      <c r="J10">
        <f>COUNTIFS(final_data!A:A,Planilha1!G10,final_data!E:E,0)</f>
        <v>0</v>
      </c>
      <c r="K10" s="7">
        <f t="shared" si="0"/>
        <v>0</v>
      </c>
    </row>
    <row r="11" spans="3:11" x14ac:dyDescent="0.25">
      <c r="C11" s="5"/>
      <c r="D11" s="5"/>
      <c r="E11" s="5"/>
      <c r="G11" s="9" t="s">
        <v>350</v>
      </c>
      <c r="H11" s="3"/>
      <c r="I11">
        <f>COUNTIF(final_data!A:A,Planilha1!G11)</f>
        <v>3</v>
      </c>
      <c r="J11">
        <f>COUNTIFS(final_data!A:A,Planilha1!G11,final_data!E:E,0)</f>
        <v>0</v>
      </c>
      <c r="K11" s="7">
        <f t="shared" si="0"/>
        <v>0</v>
      </c>
    </row>
    <row r="12" spans="3:11" x14ac:dyDescent="0.25">
      <c r="G12" s="9" t="s">
        <v>354</v>
      </c>
      <c r="H12" s="3"/>
      <c r="I12">
        <f>COUNTIF(final_data!A:A,Planilha1!G12)</f>
        <v>14</v>
      </c>
      <c r="J12">
        <f>COUNTIFS(final_data!A:A,Planilha1!G12,final_data!E:E,0)</f>
        <v>1</v>
      </c>
      <c r="K12" s="7">
        <f t="shared" si="0"/>
        <v>7.1428571428571425E-2</v>
      </c>
    </row>
    <row r="13" spans="3:11" x14ac:dyDescent="0.25">
      <c r="G13" s="9" t="s">
        <v>362</v>
      </c>
      <c r="H13" s="3"/>
      <c r="I13">
        <f>COUNTIF(final_data!A:A,Planilha1!G13)</f>
        <v>122</v>
      </c>
      <c r="J13">
        <f>COUNTIFS(final_data!A:A,Planilha1!G13,final_data!E:E,0)</f>
        <v>0</v>
      </c>
      <c r="K13" s="7">
        <f t="shared" si="0"/>
        <v>0</v>
      </c>
    </row>
    <row r="14" spans="3:11" x14ac:dyDescent="0.25">
      <c r="G14" s="9" t="s">
        <v>432</v>
      </c>
      <c r="H14" s="3"/>
      <c r="I14">
        <f>COUNTIF(final_data!A:A,Planilha1!G14)</f>
        <v>15</v>
      </c>
      <c r="J14">
        <f>COUNTIFS(final_data!A:A,Planilha1!G14,final_data!E:E,0)</f>
        <v>0</v>
      </c>
      <c r="K14" s="7">
        <f t="shared" si="0"/>
        <v>0</v>
      </c>
    </row>
    <row r="15" spans="3:11" x14ac:dyDescent="0.25">
      <c r="G15" s="9" t="s">
        <v>445</v>
      </c>
      <c r="H15" s="3"/>
      <c r="I15">
        <f>COUNTIF(final_data!A:A,Planilha1!G15)</f>
        <v>3</v>
      </c>
      <c r="J15">
        <f>COUNTIFS(final_data!A:A,Planilha1!G15,final_data!E:E,0)</f>
        <v>0</v>
      </c>
      <c r="K15" s="7">
        <f t="shared" si="0"/>
        <v>0</v>
      </c>
    </row>
    <row r="18" spans="5:8" x14ac:dyDescent="0.25">
      <c r="G18" s="3"/>
      <c r="H18" s="3"/>
    </row>
    <row r="19" spans="5:8" x14ac:dyDescent="0.25">
      <c r="E19" s="9" t="s">
        <v>478</v>
      </c>
      <c r="G19" s="3"/>
      <c r="H19" s="3"/>
    </row>
    <row r="20" spans="5:8" x14ac:dyDescent="0.25">
      <c r="E20">
        <v>126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0B0CC-1D1F-42D0-921B-627562AA4A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final_data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Alves Afonso</dc:creator>
  <cp:lastModifiedBy>Vinícius Alves Afonso</cp:lastModifiedBy>
  <dcterms:created xsi:type="dcterms:W3CDTF">2026-10-07T20:05:08Z</dcterms:created>
  <dcterms:modified xsi:type="dcterms:W3CDTF">2026-10-07T21:55:34Z</dcterms:modified>
</cp:coreProperties>
</file>